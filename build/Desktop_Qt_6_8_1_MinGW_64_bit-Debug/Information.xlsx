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r M\Documents\Chess_Paring_system\build\Desktop_Qt_6_8_1_MinGW_64_bit-Debug\"/>
    </mc:Choice>
  </mc:AlternateContent>
  <xr:revisionPtr revIDLastSave="0" documentId="13_ncr:1_{DEDE3F0C-F597-48B0-8BDF-84F0F3E2862C}" xr6:coauthVersionLast="47" xr6:coauthVersionMax="47" xr10:uidLastSave="{00000000-0000-0000-0000-000000000000}"/>
  <bookViews>
    <workbookView xWindow="-108" yWindow="-108" windowWidth="23256" windowHeight="12456" activeTab="2" xr2:uid="{79E36007-2F2A-4E40-BA39-941A655022AA}"/>
  </bookViews>
  <sheets>
    <sheet name="Leaners who lost pieces" sheetId="1" r:id="rId1"/>
    <sheet name="GRADE 8 illigal moves" sheetId="3" r:id="rId2"/>
    <sheet name="PLayers for team trials" sheetId="4" r:id="rId3"/>
    <sheet name="Borrowing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45" i="4" l="1"/>
  <c r="I45" i="4" s="1"/>
  <c r="H45" i="4"/>
  <c r="G44" i="4"/>
  <c r="I44" i="4" s="1"/>
  <c r="H44" i="4"/>
  <c r="G43" i="4"/>
  <c r="I43" i="4" s="1"/>
  <c r="H43" i="4"/>
  <c r="G42" i="4"/>
  <c r="I42" i="4" s="1"/>
  <c r="H42" i="4"/>
  <c r="G41" i="4"/>
  <c r="I41" i="4" s="1"/>
  <c r="H41" i="4"/>
  <c r="G40" i="4"/>
  <c r="I40" i="4" s="1"/>
  <c r="H40" i="4"/>
  <c r="G39" i="4"/>
  <c r="I39" i="4" s="1"/>
  <c r="H39" i="4"/>
  <c r="G38" i="4"/>
  <c r="I38" i="4" s="1"/>
  <c r="H38" i="4"/>
  <c r="G37" i="4"/>
  <c r="I37" i="4" s="1"/>
  <c r="H37" i="4"/>
  <c r="G36" i="4"/>
  <c r="I36" i="4" s="1"/>
  <c r="H36" i="4"/>
  <c r="G35" i="4"/>
  <c r="I35" i="4" s="1"/>
  <c r="H35" i="4"/>
  <c r="G34" i="4"/>
  <c r="I34" i="4" s="1"/>
  <c r="H34" i="4"/>
  <c r="G33" i="4"/>
  <c r="I33" i="4" s="1"/>
  <c r="H33" i="4"/>
  <c r="G32" i="4"/>
  <c r="I32" i="4" s="1"/>
  <c r="H32" i="4"/>
  <c r="G2" i="4"/>
  <c r="I2" i="4" s="1"/>
  <c r="G3" i="4"/>
  <c r="I3" i="4" s="1"/>
  <c r="G4" i="4"/>
  <c r="I4" i="4" s="1"/>
  <c r="G5" i="4"/>
  <c r="I5" i="4" s="1"/>
  <c r="G6" i="4"/>
  <c r="I6" i="4" s="1"/>
  <c r="G7" i="4"/>
  <c r="I7" i="4" s="1"/>
  <c r="G8" i="4"/>
  <c r="I8" i="4" s="1"/>
  <c r="G9" i="4"/>
  <c r="I9" i="4" s="1"/>
  <c r="G10" i="4"/>
  <c r="I10" i="4" s="1"/>
  <c r="G11" i="4"/>
  <c r="I11" i="4" s="1"/>
  <c r="G12" i="4"/>
  <c r="I12" i="4" s="1"/>
  <c r="G13" i="4"/>
  <c r="I13" i="4" s="1"/>
  <c r="G14" i="4"/>
  <c r="I14" i="4" s="1"/>
  <c r="G15" i="4"/>
  <c r="I15" i="4" s="1"/>
  <c r="G16" i="4"/>
  <c r="I16" i="4" s="1"/>
  <c r="G17" i="4"/>
  <c r="I17" i="4" s="1"/>
  <c r="G18" i="4"/>
  <c r="I18" i="4" s="1"/>
  <c r="G19" i="4"/>
  <c r="I19" i="4" s="1"/>
  <c r="G20" i="4"/>
  <c r="I20" i="4" s="1"/>
  <c r="G21" i="4"/>
  <c r="I21" i="4" s="1"/>
  <c r="G22" i="4"/>
  <c r="I22" i="4" s="1"/>
  <c r="G23" i="4"/>
  <c r="I23" i="4" s="1"/>
  <c r="G24" i="4"/>
  <c r="I24" i="4" s="1"/>
  <c r="G25" i="4"/>
  <c r="I25" i="4" s="1"/>
  <c r="G26" i="4"/>
  <c r="I26" i="4" s="1"/>
  <c r="G27" i="4"/>
  <c r="I27" i="4" s="1"/>
  <c r="G28" i="4"/>
  <c r="I28" i="4" s="1"/>
  <c r="G29" i="4"/>
  <c r="I29" i="4" s="1"/>
  <c r="G30" i="4"/>
  <c r="I30" i="4" s="1"/>
  <c r="G31" i="4"/>
  <c r="I31" i="4" s="1"/>
  <c r="H31" i="4"/>
  <c r="H30" i="4"/>
  <c r="H29" i="4"/>
  <c r="H28" i="4"/>
  <c r="H27" i="4"/>
  <c r="A3" i="4"/>
  <c r="A4" i="4" s="1"/>
  <c r="A5" i="4" s="1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3" i="4"/>
  <c r="H4" i="4"/>
  <c r="H5" i="4"/>
  <c r="H6" i="4"/>
  <c r="H7" i="4"/>
  <c r="H8" i="4"/>
  <c r="H9" i="4"/>
  <c r="H2" i="4"/>
  <c r="N4" i="4" l="1"/>
  <c r="O4" i="4"/>
  <c r="L4" i="4"/>
  <c r="M4" i="4"/>
  <c r="O3" i="4"/>
  <c r="K4" i="4"/>
  <c r="P4" i="4" s="1"/>
  <c r="M3" i="4"/>
  <c r="N3" i="4"/>
  <c r="L3" i="4"/>
  <c r="K3" i="4"/>
  <c r="N2" i="4"/>
  <c r="O2" i="4"/>
  <c r="L2" i="4"/>
  <c r="M2" i="4"/>
  <c r="K2" i="4"/>
  <c r="P2" i="4" l="1"/>
  <c r="P3" i="4"/>
</calcChain>
</file>

<file path=xl/sharedStrings.xml><?xml version="1.0" encoding="utf-8"?>
<sst xmlns="http://schemas.openxmlformats.org/spreadsheetml/2006/main" count="447" uniqueCount="248">
  <si>
    <t>Leaner</t>
  </si>
  <si>
    <t>Class</t>
  </si>
  <si>
    <t>Date</t>
  </si>
  <si>
    <t>Mpho Pitso</t>
  </si>
  <si>
    <t>29-01-2026</t>
  </si>
  <si>
    <t>Meeting with parent</t>
  </si>
  <si>
    <t>parent Name</t>
  </si>
  <si>
    <t>Resolution</t>
  </si>
  <si>
    <t>7B</t>
  </si>
  <si>
    <t>Issue</t>
  </si>
  <si>
    <t>Lost a white pawn</t>
  </si>
  <si>
    <t>Status</t>
  </si>
  <si>
    <t>Date borrowed</t>
  </si>
  <si>
    <t>Date Returned</t>
  </si>
  <si>
    <t>Mivuyo Nakasa</t>
  </si>
  <si>
    <t>7A</t>
  </si>
  <si>
    <t>04-02/2026</t>
  </si>
  <si>
    <t>7c</t>
  </si>
  <si>
    <t>Liyema soyekwa</t>
  </si>
  <si>
    <t>04-02-2026</t>
  </si>
  <si>
    <t>7C</t>
  </si>
  <si>
    <t>Snokuhle obetha</t>
  </si>
  <si>
    <t>7a</t>
  </si>
  <si>
    <t>resolved</t>
  </si>
  <si>
    <t>Found the chess piece in another set</t>
  </si>
  <si>
    <t>09-02-2026</t>
  </si>
  <si>
    <t>Adivhowo Ndou</t>
  </si>
  <si>
    <t>7b</t>
  </si>
  <si>
    <t>Qheliso Yiva</t>
  </si>
  <si>
    <t>10-02-2026</t>
  </si>
  <si>
    <t>LEARNER</t>
  </si>
  <si>
    <t>Iyazi Gwadiso</t>
  </si>
  <si>
    <t>Game 1</t>
  </si>
  <si>
    <t>Game 2</t>
  </si>
  <si>
    <t>Game 3</t>
  </si>
  <si>
    <t>Game 4</t>
  </si>
  <si>
    <t>Game 5</t>
  </si>
  <si>
    <t>Linako Madikizela</t>
  </si>
  <si>
    <t>Luzuko Sonjica</t>
  </si>
  <si>
    <t>Ndabeni Lisakhanya</t>
  </si>
  <si>
    <t>Tsontsoyi Siyanda</t>
  </si>
  <si>
    <t>Mazembe Anam</t>
  </si>
  <si>
    <t>Mcamba Samkele</t>
  </si>
  <si>
    <t>Mdlalo Aviwe</t>
  </si>
  <si>
    <t>Gaxela Ovayo</t>
  </si>
  <si>
    <t>Mabuza Ncedo</t>
  </si>
  <si>
    <t>Ngcaluza Sibabalwe</t>
  </si>
  <si>
    <t>Mgoboza Yamkela</t>
  </si>
  <si>
    <t>Nkohla Lusasa</t>
  </si>
  <si>
    <t xml:space="preserve">Sobetshe Ndimphiwe </t>
  </si>
  <si>
    <t>Philani Nhose</t>
  </si>
  <si>
    <t>Luhle Thafeni</t>
  </si>
  <si>
    <t>Lungapheli Tunzi</t>
  </si>
  <si>
    <t>Siyabonga Mlomo</t>
  </si>
  <si>
    <t>Macholi Qhamani</t>
  </si>
  <si>
    <t>Bobotyane Lukhanyo</t>
  </si>
  <si>
    <t>Tshepo</t>
  </si>
  <si>
    <t>Imange</t>
  </si>
  <si>
    <t>12-12-2026</t>
  </si>
  <si>
    <t>?</t>
  </si>
  <si>
    <t>Lwandle Yembe</t>
  </si>
  <si>
    <t>one chess board was returned and I recorded it here instead of the person</t>
  </si>
  <si>
    <t>Lisakhanya Ndabeni</t>
  </si>
  <si>
    <t>8B</t>
  </si>
  <si>
    <t>13-02-2026</t>
  </si>
  <si>
    <t>Mjalife Mkwena</t>
  </si>
  <si>
    <t>6A</t>
  </si>
  <si>
    <t>Likhona Mvazana</t>
  </si>
  <si>
    <t>Miponi Madikane</t>
  </si>
  <si>
    <t>9C</t>
  </si>
  <si>
    <t>Malete Sizwe</t>
  </si>
  <si>
    <t>Polaki Tshepo</t>
  </si>
  <si>
    <t>Phethisang Ranosi</t>
  </si>
  <si>
    <t>Nthabeleng Namane</t>
  </si>
  <si>
    <t xml:space="preserve">Lerato Jane </t>
  </si>
  <si>
    <t>Ntswaki Lesole</t>
  </si>
  <si>
    <t>new boards</t>
  </si>
  <si>
    <t>Thoriso Mk</t>
  </si>
  <si>
    <t>Nthabeleng Mf</t>
  </si>
  <si>
    <t>Linamandla Keswa</t>
  </si>
  <si>
    <t>Teboho mokhetsi</t>
  </si>
  <si>
    <t>Deyi Inathi</t>
  </si>
  <si>
    <t>9B</t>
  </si>
  <si>
    <t>8D</t>
  </si>
  <si>
    <t>Mbambi Luyanda</t>
  </si>
  <si>
    <t>Maqokolo Nathi</t>
  </si>
  <si>
    <t>Moipone Matekane</t>
  </si>
  <si>
    <t>Rethabile Ratsiu</t>
  </si>
  <si>
    <t>Ntwaki Lesole</t>
  </si>
  <si>
    <t xml:space="preserve">Ngcaluza Sbabalwe &amp; Iviwe Dlamini </t>
  </si>
  <si>
    <t>8A</t>
  </si>
  <si>
    <t>Tsoloane Reanetse</t>
  </si>
  <si>
    <t>Thipa Reamohetse</t>
  </si>
  <si>
    <t>Thato Senauoane</t>
  </si>
  <si>
    <t>Iminathi Stark</t>
  </si>
  <si>
    <t>Kufisakwethu Nxumalo</t>
  </si>
  <si>
    <t>Inathi Deyi</t>
  </si>
  <si>
    <t>Chumile Maqokolo</t>
  </si>
  <si>
    <t>Kungawo Sikhotha</t>
  </si>
  <si>
    <t>Mpho Moreki</t>
  </si>
  <si>
    <t xml:space="preserve">Towdah Mabaso </t>
  </si>
  <si>
    <t xml:space="preserve">Nkanuka Juniour </t>
  </si>
  <si>
    <t>Mzo Lelomso</t>
  </si>
  <si>
    <t xml:space="preserve">Nxumalo Kufisakwethu </t>
  </si>
  <si>
    <t>Mazatsana Simbukele</t>
  </si>
  <si>
    <t>Sekubane Kali</t>
  </si>
  <si>
    <t>Siphathise Mazembe</t>
  </si>
  <si>
    <t>Kopano Mhlambi</t>
  </si>
  <si>
    <t>Kopan0 Mhlambi</t>
  </si>
  <si>
    <t>Anokuhle Khwetha</t>
  </si>
  <si>
    <t>Laluhle Mila</t>
  </si>
  <si>
    <t>16-02-2026</t>
  </si>
  <si>
    <t>Lusizo Mabindisa</t>
  </si>
  <si>
    <t>new board</t>
  </si>
  <si>
    <t>Tebogo Dzedze</t>
  </si>
  <si>
    <t>Ncapai Imange</t>
  </si>
  <si>
    <t>8C</t>
  </si>
  <si>
    <t>18-02-2026</t>
  </si>
  <si>
    <t xml:space="preserve">Lusasa Nkohla </t>
  </si>
  <si>
    <t>Mazansana Simbulele</t>
  </si>
  <si>
    <t>9A</t>
  </si>
  <si>
    <t>Lukhanya Bobotyana</t>
  </si>
  <si>
    <t>Ovayo Gaxela</t>
  </si>
  <si>
    <t>Dimphiwe Sobetshe</t>
  </si>
  <si>
    <t>Qhamani Macholi</t>
  </si>
  <si>
    <t>19-02-2026</t>
  </si>
  <si>
    <t>Adel Langa</t>
  </si>
  <si>
    <t>Minenhle Notha</t>
  </si>
  <si>
    <t>Tshepo Mgodeli</t>
  </si>
  <si>
    <t>Asemahle takana</t>
  </si>
  <si>
    <t>20-02-2026</t>
  </si>
  <si>
    <t>Philani Nose</t>
  </si>
  <si>
    <t>Thabo Mthethwa</t>
  </si>
  <si>
    <t>Bonga Mpongolwana</t>
  </si>
  <si>
    <t>Qhamani Sboniso</t>
  </si>
  <si>
    <t>23-02-2026</t>
  </si>
  <si>
    <t>Linakho Madikizela</t>
  </si>
  <si>
    <t>Alunga Mdinyane</t>
  </si>
  <si>
    <t>6B</t>
  </si>
  <si>
    <t>Magade Luminathi</t>
  </si>
  <si>
    <t>24-02-2026</t>
  </si>
  <si>
    <t>25-02-2026</t>
  </si>
  <si>
    <t>Surname</t>
  </si>
  <si>
    <t>Name</t>
  </si>
  <si>
    <t>Date of birth</t>
  </si>
  <si>
    <t>Gender</t>
  </si>
  <si>
    <t>Ngongo</t>
  </si>
  <si>
    <t>Sithenkosi</t>
  </si>
  <si>
    <t>male</t>
  </si>
  <si>
    <t>9b</t>
  </si>
  <si>
    <t xml:space="preserve">Nkanuke </t>
  </si>
  <si>
    <t>Junior</t>
  </si>
  <si>
    <t xml:space="preserve">Stark </t>
  </si>
  <si>
    <t>Iminathi</t>
  </si>
  <si>
    <t>Maqholo</t>
  </si>
  <si>
    <t>Nathi</t>
  </si>
  <si>
    <t>Mfunwa</t>
  </si>
  <si>
    <t>Mandilakhe</t>
  </si>
  <si>
    <t>Mbonambi</t>
  </si>
  <si>
    <t>Luyanda</t>
  </si>
  <si>
    <t>Magade</t>
  </si>
  <si>
    <t>Lumi</t>
  </si>
  <si>
    <t>Deyi</t>
  </si>
  <si>
    <t>Inathi</t>
  </si>
  <si>
    <t>age</t>
  </si>
  <si>
    <t>Mlenzana</t>
  </si>
  <si>
    <t>Mkhwetha</t>
  </si>
  <si>
    <t>Anobuhle</t>
  </si>
  <si>
    <t>Mhlambi</t>
  </si>
  <si>
    <t>Kopano</t>
  </si>
  <si>
    <t>Mabindisi</t>
  </si>
  <si>
    <t>Lusizo</t>
  </si>
  <si>
    <t>Khwetshube</t>
  </si>
  <si>
    <t>Anathi</t>
  </si>
  <si>
    <t>Somjovu</t>
  </si>
  <si>
    <t>Lesego</t>
  </si>
  <si>
    <t>Mncube</t>
  </si>
  <si>
    <t>Mpilo</t>
  </si>
  <si>
    <t>Leponise</t>
  </si>
  <si>
    <t>Mpho</t>
  </si>
  <si>
    <t>Ndabeni</t>
  </si>
  <si>
    <t>Sphiwe</t>
  </si>
  <si>
    <t>Dzedze</t>
  </si>
  <si>
    <t>Teboho</t>
  </si>
  <si>
    <t>Ndou</t>
  </si>
  <si>
    <t>Adivhayo</t>
  </si>
  <si>
    <t>Sindesi</t>
  </si>
  <si>
    <t>Sphiwo</t>
  </si>
  <si>
    <t>Ndondoshe</t>
  </si>
  <si>
    <t>Konwabo</t>
  </si>
  <si>
    <t>Lesole</t>
  </si>
  <si>
    <t>Kgotsofalang</t>
  </si>
  <si>
    <t>Sinombongo</t>
  </si>
  <si>
    <t>Sirayi</t>
  </si>
  <si>
    <t>female</t>
  </si>
  <si>
    <t>Bolosha</t>
  </si>
  <si>
    <t>Akhule</t>
  </si>
  <si>
    <t>Buqwana</t>
  </si>
  <si>
    <t>No</t>
  </si>
  <si>
    <t>age and months</t>
  </si>
  <si>
    <t>Siyonela</t>
  </si>
  <si>
    <t>Jifo</t>
  </si>
  <si>
    <t>Inako</t>
  </si>
  <si>
    <t>Langa</t>
  </si>
  <si>
    <t>Unies</t>
  </si>
  <si>
    <t>Lethabo</t>
  </si>
  <si>
    <t>Jwara</t>
  </si>
  <si>
    <t>Zintle</t>
  </si>
  <si>
    <t>Asali</t>
  </si>
  <si>
    <t>Mbali</t>
  </si>
  <si>
    <t>No of U13</t>
  </si>
  <si>
    <t>No of U15</t>
  </si>
  <si>
    <t>No of U17</t>
  </si>
  <si>
    <t>No of U19</t>
  </si>
  <si>
    <t>No of U11</t>
  </si>
  <si>
    <t>under</t>
  </si>
  <si>
    <t xml:space="preserve">Govela </t>
  </si>
  <si>
    <t>Ovayo</t>
  </si>
  <si>
    <t>8b</t>
  </si>
  <si>
    <t xml:space="preserve">Macholi </t>
  </si>
  <si>
    <t>Qhamani</t>
  </si>
  <si>
    <t>Mgobhoza</t>
  </si>
  <si>
    <t>Yamkela</t>
  </si>
  <si>
    <t>Sobetshe</t>
  </si>
  <si>
    <t>Ndimphiwe</t>
  </si>
  <si>
    <t>Nkohla</t>
  </si>
  <si>
    <t>Lusasa</t>
  </si>
  <si>
    <t>Lisakhanya</t>
  </si>
  <si>
    <t>Mpongolwane</t>
  </si>
  <si>
    <t>Bonga</t>
  </si>
  <si>
    <t xml:space="preserve">Memela </t>
  </si>
  <si>
    <t>Sboniso</t>
  </si>
  <si>
    <t>Monaskali</t>
  </si>
  <si>
    <t>Ayabulela</t>
  </si>
  <si>
    <t>Sonjica</t>
  </si>
  <si>
    <t>Luzuko</t>
  </si>
  <si>
    <t>Mdongeni</t>
  </si>
  <si>
    <t>Lisantle</t>
  </si>
  <si>
    <t>Qhula</t>
  </si>
  <si>
    <t>Amila</t>
  </si>
  <si>
    <t>Naphakade</t>
  </si>
  <si>
    <t>Lubabalo</t>
  </si>
  <si>
    <t>Mcuba</t>
  </si>
  <si>
    <t>Samkele</t>
  </si>
  <si>
    <t>All</t>
  </si>
  <si>
    <t>Male</t>
  </si>
  <si>
    <t>Female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</si>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</sst>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0" xfId="0" applyFont="1"/>
    <xf numFmtId="14" fontId="0" fillId="0" borderId="0" xfId="0" applyNumberFormat="1" applyFont="1"/>
    <xf numFmtId="0" fontId="0" fillId="2" borderId="1" xfId="0" applyFill="1" applyBorder="1"/>
    <xf numFmtId="0" fontId="1" fillId="2" borderId="1" xfId="0" applyFont="1" applyFill="1" applyBorder="1"/>
    <xf numFmtId="0" fontId="1" fillId="2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CD8210-CFF3-4381-8237-2BB1FD748D58}">
  <dimension ref="A1:H2"/>
  <sheetViews>
    <sheetView workbookViewId="0">
      <selection activeCell="E3" sqref="E3"/>
    </sheetView>
  </sheetViews>
  <sheetFormatPr defaultRowHeight="14.4" x14ac:dyDescent="0.3"/>
  <cols>
    <col min="1" max="1" width="10.21875" bestFit="1" customWidth="1"/>
    <col min="3" max="3" width="10.33203125" bestFit="1" customWidth="1"/>
    <col min="4" max="4" width="15.88671875" bestFit="1" customWidth="1"/>
    <col min="5" max="5" width="17.6640625" bestFit="1" customWidth="1"/>
    <col min="6" max="6" width="11.6640625" bestFit="1" customWidth="1"/>
    <col min="7" max="7" width="31" bestFit="1" customWidth="1"/>
    <col min="8" max="8" width="9.8867187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9</v>
      </c>
      <c r="E1" s="1" t="s">
        <v>5</v>
      </c>
      <c r="F1" s="1" t="s">
        <v>6</v>
      </c>
      <c r="G1" s="1" t="s">
        <v>7</v>
      </c>
      <c r="H1" s="1" t="s">
        <v>11</v>
      </c>
    </row>
    <row r="2" spans="1:8" x14ac:dyDescent="0.3">
      <c r="A2" t="s">
        <v>3</v>
      </c>
      <c r="B2" t="s">
        <v>8</v>
      </c>
      <c r="C2" t="s">
        <v>4</v>
      </c>
      <c r="D2" t="s">
        <v>10</v>
      </c>
      <c r="G2" t="s">
        <v>24</v>
      </c>
      <c r="H2" t="s">
        <v>23</v>
      </c>
    </row>
  </sheetData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F00F0-4DBA-4BC7-8926-D2814359C5C8}">
  <dimension ref="A1:F51"/>
  <sheetViews>
    <sheetView topLeftCell="A26" workbookViewId="0">
      <selection activeCell="A52" sqref="A52"/>
    </sheetView>
  </sheetViews>
  <sheetFormatPr defaultRowHeight="14.4" x14ac:dyDescent="0.3"/>
  <cols>
    <col min="1" max="1" width="21.88671875" customWidth="1"/>
  </cols>
  <sheetData>
    <row r="1" spans="1:6" x14ac:dyDescent="0.3">
      <c r="A1" s="1" t="s">
        <v>30</v>
      </c>
      <c r="B1" s="1" t="s">
        <v>32</v>
      </c>
      <c r="C1" s="1" t="s">
        <v>33</v>
      </c>
      <c r="D1" s="1" t="s">
        <v>34</v>
      </c>
      <c r="E1" s="1" t="s">
        <v>35</v>
      </c>
      <c r="F1" s="1" t="s">
        <v>36</v>
      </c>
    </row>
    <row r="2" spans="1:6" x14ac:dyDescent="0.3">
      <c r="A2" s="2" t="s">
        <v>31</v>
      </c>
      <c r="B2">
        <v>0</v>
      </c>
      <c r="C2">
        <v>0</v>
      </c>
    </row>
    <row r="3" spans="1:6" x14ac:dyDescent="0.3">
      <c r="A3" t="s">
        <v>37</v>
      </c>
      <c r="B3">
        <v>3</v>
      </c>
      <c r="C3">
        <v>2</v>
      </c>
    </row>
    <row r="4" spans="1:6" x14ac:dyDescent="0.3">
      <c r="A4" t="s">
        <v>38</v>
      </c>
      <c r="B4">
        <v>3</v>
      </c>
    </row>
    <row r="5" spans="1:6" x14ac:dyDescent="0.3">
      <c r="A5" t="s">
        <v>39</v>
      </c>
      <c r="B5">
        <v>0</v>
      </c>
      <c r="C5">
        <v>1</v>
      </c>
      <c r="D5">
        <v>1</v>
      </c>
    </row>
    <row r="6" spans="1:6" x14ac:dyDescent="0.3">
      <c r="A6" t="s">
        <v>40</v>
      </c>
      <c r="B6">
        <v>0</v>
      </c>
      <c r="C6">
        <v>3</v>
      </c>
      <c r="D6">
        <v>0</v>
      </c>
    </row>
    <row r="7" spans="1:6" x14ac:dyDescent="0.3">
      <c r="A7" t="s">
        <v>41</v>
      </c>
      <c r="B7">
        <v>1</v>
      </c>
      <c r="C7">
        <v>3</v>
      </c>
    </row>
    <row r="8" spans="1:6" x14ac:dyDescent="0.3">
      <c r="A8" t="s">
        <v>42</v>
      </c>
      <c r="B8">
        <v>0</v>
      </c>
      <c r="C8">
        <v>0</v>
      </c>
    </row>
    <row r="9" spans="1:6" x14ac:dyDescent="0.3">
      <c r="A9" t="s">
        <v>43</v>
      </c>
      <c r="B9">
        <v>1</v>
      </c>
    </row>
    <row r="10" spans="1:6" x14ac:dyDescent="0.3">
      <c r="A10" t="s">
        <v>44</v>
      </c>
      <c r="B10">
        <v>3</v>
      </c>
    </row>
    <row r="11" spans="1:6" x14ac:dyDescent="0.3">
      <c r="A11" t="s">
        <v>45</v>
      </c>
      <c r="B11">
        <v>3</v>
      </c>
    </row>
    <row r="12" spans="1:6" x14ac:dyDescent="0.3">
      <c r="A12" t="s">
        <v>46</v>
      </c>
      <c r="B12">
        <v>1</v>
      </c>
    </row>
    <row r="13" spans="1:6" x14ac:dyDescent="0.3">
      <c r="A13" t="s">
        <v>47</v>
      </c>
      <c r="B13">
        <v>1</v>
      </c>
    </row>
    <row r="14" spans="1:6" x14ac:dyDescent="0.3">
      <c r="A14" t="s">
        <v>48</v>
      </c>
      <c r="B14">
        <v>1</v>
      </c>
    </row>
    <row r="15" spans="1:6" x14ac:dyDescent="0.3">
      <c r="A15" t="s">
        <v>49</v>
      </c>
      <c r="B15">
        <v>2</v>
      </c>
    </row>
    <row r="16" spans="1:6" x14ac:dyDescent="0.3">
      <c r="A16" t="s">
        <v>50</v>
      </c>
      <c r="B16">
        <v>0</v>
      </c>
      <c r="C16">
        <v>0</v>
      </c>
      <c r="D16">
        <v>1</v>
      </c>
    </row>
    <row r="17" spans="1:4" x14ac:dyDescent="0.3">
      <c r="A17" t="s">
        <v>51</v>
      </c>
      <c r="B17">
        <v>3</v>
      </c>
      <c r="C17">
        <v>3</v>
      </c>
      <c r="D17">
        <v>1</v>
      </c>
    </row>
    <row r="18" spans="1:4" x14ac:dyDescent="0.3">
      <c r="A18" t="s">
        <v>52</v>
      </c>
      <c r="B18">
        <v>3</v>
      </c>
      <c r="C18">
        <v>2</v>
      </c>
    </row>
    <row r="19" spans="1:4" x14ac:dyDescent="0.3">
      <c r="A19" t="s">
        <v>53</v>
      </c>
      <c r="B19">
        <v>3</v>
      </c>
      <c r="C19">
        <v>2</v>
      </c>
    </row>
    <row r="20" spans="1:4" x14ac:dyDescent="0.3">
      <c r="A20" t="s">
        <v>54</v>
      </c>
      <c r="B20">
        <v>0</v>
      </c>
    </row>
    <row r="21" spans="1:4" x14ac:dyDescent="0.3">
      <c r="A21" t="s">
        <v>55</v>
      </c>
      <c r="B21">
        <v>3</v>
      </c>
    </row>
    <row r="22" spans="1:4" x14ac:dyDescent="0.3">
      <c r="A22" t="s">
        <v>56</v>
      </c>
      <c r="B22">
        <v>1</v>
      </c>
    </row>
    <row r="23" spans="1:4" x14ac:dyDescent="0.3">
      <c r="A23" t="s">
        <v>57</v>
      </c>
      <c r="B23">
        <v>3</v>
      </c>
    </row>
    <row r="24" spans="1:4" x14ac:dyDescent="0.3">
      <c r="A24" t="s">
        <v>70</v>
      </c>
      <c r="B24">
        <v>0</v>
      </c>
    </row>
    <row r="25" spans="1:4" x14ac:dyDescent="0.3">
      <c r="A25" t="s">
        <v>71</v>
      </c>
      <c r="B25">
        <v>2</v>
      </c>
    </row>
    <row r="26" spans="1:4" x14ac:dyDescent="0.3">
      <c r="A26" t="s">
        <v>72</v>
      </c>
      <c r="B26">
        <v>0</v>
      </c>
    </row>
    <row r="27" spans="1:4" x14ac:dyDescent="0.3">
      <c r="A27" t="s">
        <v>73</v>
      </c>
      <c r="B27">
        <v>2</v>
      </c>
      <c r="C27">
        <v>1</v>
      </c>
    </row>
    <row r="28" spans="1:4" x14ac:dyDescent="0.3">
      <c r="A28" t="s">
        <v>74</v>
      </c>
      <c r="B28">
        <v>3</v>
      </c>
      <c r="C28">
        <v>1</v>
      </c>
    </row>
    <row r="29" spans="1:4" x14ac:dyDescent="0.3">
      <c r="A29" t="s">
        <v>75</v>
      </c>
      <c r="B29">
        <v>2</v>
      </c>
    </row>
    <row r="30" spans="1:4" x14ac:dyDescent="0.3">
      <c r="A30" t="s">
        <v>77</v>
      </c>
      <c r="B30">
        <v>1</v>
      </c>
    </row>
    <row r="31" spans="1:4" x14ac:dyDescent="0.3">
      <c r="A31" t="s">
        <v>78</v>
      </c>
      <c r="B31">
        <v>0</v>
      </c>
    </row>
    <row r="32" spans="1:4" x14ac:dyDescent="0.3">
      <c r="A32" t="s">
        <v>84</v>
      </c>
      <c r="B32">
        <v>3</v>
      </c>
      <c r="C32">
        <v>3</v>
      </c>
    </row>
    <row r="33" spans="1:4" x14ac:dyDescent="0.3">
      <c r="A33" t="s">
        <v>85</v>
      </c>
      <c r="B33">
        <v>0</v>
      </c>
      <c r="C33">
        <v>0</v>
      </c>
    </row>
    <row r="34" spans="1:4" x14ac:dyDescent="0.3">
      <c r="A34" t="s">
        <v>86</v>
      </c>
      <c r="B34">
        <v>1</v>
      </c>
    </row>
    <row r="35" spans="1:4" x14ac:dyDescent="0.3">
      <c r="A35" t="s">
        <v>87</v>
      </c>
      <c r="B35">
        <v>0</v>
      </c>
      <c r="C35">
        <v>1</v>
      </c>
    </row>
    <row r="36" spans="1:4" x14ac:dyDescent="0.3">
      <c r="A36" t="s">
        <v>88</v>
      </c>
      <c r="C36">
        <v>2</v>
      </c>
    </row>
    <row r="37" spans="1:4" x14ac:dyDescent="0.3">
      <c r="A37" t="s">
        <v>91</v>
      </c>
      <c r="B37">
        <v>3</v>
      </c>
      <c r="C37">
        <v>3</v>
      </c>
    </row>
    <row r="38" spans="1:4" x14ac:dyDescent="0.3">
      <c r="A38" t="s">
        <v>92</v>
      </c>
      <c r="B38">
        <v>2</v>
      </c>
      <c r="C38">
        <v>2</v>
      </c>
    </row>
    <row r="39" spans="1:4" x14ac:dyDescent="0.3">
      <c r="A39" t="s">
        <v>94</v>
      </c>
      <c r="B39">
        <v>3</v>
      </c>
      <c r="C39">
        <v>3</v>
      </c>
      <c r="D39">
        <v>1</v>
      </c>
    </row>
    <row r="40" spans="1:4" x14ac:dyDescent="0.3">
      <c r="A40" t="s">
        <v>95</v>
      </c>
      <c r="B40">
        <v>1</v>
      </c>
    </row>
    <row r="41" spans="1:4" x14ac:dyDescent="0.3">
      <c r="A41" t="s">
        <v>96</v>
      </c>
      <c r="B41">
        <v>0</v>
      </c>
      <c r="C41">
        <v>0</v>
      </c>
    </row>
    <row r="42" spans="1:4" x14ac:dyDescent="0.3">
      <c r="A42" t="s">
        <v>97</v>
      </c>
      <c r="B42">
        <v>0</v>
      </c>
    </row>
    <row r="43" spans="1:4" x14ac:dyDescent="0.3">
      <c r="A43" t="s">
        <v>98</v>
      </c>
      <c r="B43">
        <v>3</v>
      </c>
    </row>
    <row r="44" spans="1:4" x14ac:dyDescent="0.3">
      <c r="A44" t="s">
        <v>99</v>
      </c>
      <c r="B44">
        <v>1</v>
      </c>
    </row>
    <row r="45" spans="1:4" x14ac:dyDescent="0.3">
      <c r="A45" t="s">
        <v>100</v>
      </c>
      <c r="B45">
        <v>1</v>
      </c>
    </row>
    <row r="46" spans="1:4" x14ac:dyDescent="0.3">
      <c r="A46" t="s">
        <v>101</v>
      </c>
      <c r="B46">
        <v>0</v>
      </c>
      <c r="C46">
        <v>3</v>
      </c>
    </row>
    <row r="47" spans="1:4" x14ac:dyDescent="0.3">
      <c r="A47" t="s">
        <v>102</v>
      </c>
      <c r="B47">
        <v>3</v>
      </c>
      <c r="C47">
        <v>0</v>
      </c>
    </row>
    <row r="48" spans="1:4" x14ac:dyDescent="0.3">
      <c r="A48" t="s">
        <v>103</v>
      </c>
      <c r="B48">
        <v>0</v>
      </c>
      <c r="C48">
        <v>0</v>
      </c>
    </row>
    <row r="49" spans="1:3" x14ac:dyDescent="0.3">
      <c r="A49" t="s">
        <v>104</v>
      </c>
      <c r="B49">
        <v>0</v>
      </c>
      <c r="C49">
        <v>0</v>
      </c>
    </row>
    <row r="50" spans="1:3" x14ac:dyDescent="0.3">
      <c r="A50" t="s">
        <v>105</v>
      </c>
      <c r="B50">
        <v>1</v>
      </c>
    </row>
    <row r="51" spans="1:3" x14ac:dyDescent="0.3">
      <c r="A51" t="s">
        <v>106</v>
      </c>
      <c r="B51">
        <v>0</v>
      </c>
    </row>
  </sheetData>
  <pageMargins left="0.7" right="0.7" top="0.75" bottom="0.75" header="0.3" footer="0.3"/>
  <pageSetup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C9E59-07BA-44D4-A814-D6B982E8208D}">
  <dimension ref="A1:P163"/>
  <sheetViews>
    <sheetView tabSelected="1" workbookViewId="0">
      <selection activeCell="L2" sqref="L2"/>
    </sheetView>
  </sheetViews>
  <sheetFormatPr defaultRowHeight="14.4" x14ac:dyDescent="0.3"/>
  <cols>
    <col min="1" max="1" width="3.44140625" bestFit="1" customWidth="1"/>
    <col min="2" max="2" width="27.5546875" customWidth="1"/>
    <col min="3" max="3" width="20.6640625" customWidth="1"/>
    <col min="4" max="4" width="11.5546875" bestFit="1" customWidth="1"/>
    <col min="8" max="8" width="23.5546875" bestFit="1" customWidth="1"/>
    <col min="9" max="9" width="6" bestFit="1" customWidth="1"/>
  </cols>
  <sheetData>
    <row r="1" spans="1:16" x14ac:dyDescent="0.3">
      <c r="A1" s="1" t="s">
        <v>198</v>
      </c>
      <c r="B1" s="1" t="s">
        <v>142</v>
      </c>
      <c r="C1" s="1" t="s">
        <v>143</v>
      </c>
      <c r="D1" s="1" t="s">
        <v>144</v>
      </c>
      <c r="E1" s="1" t="s">
        <v>145</v>
      </c>
      <c r="F1" s="1" t="s">
        <v>1</v>
      </c>
      <c r="G1" s="1" t="s">
        <v>164</v>
      </c>
      <c r="H1" s="1" t="s">
        <v>199</v>
      </c>
      <c r="I1" s="1" t="s">
        <v>215</v>
      </c>
      <c r="J1" s="4"/>
      <c r="K1" s="5" t="s">
        <v>214</v>
      </c>
      <c r="L1" s="5" t="s">
        <v>210</v>
      </c>
      <c r="M1" s="5" t="s">
        <v>211</v>
      </c>
      <c r="N1" s="5" t="s">
        <v>212</v>
      </c>
      <c r="O1" s="5" t="s">
        <v>213</v>
      </c>
      <c r="P1" s="6" t="s">
        <v>247</v>
      </c>
    </row>
    <row r="2" spans="1:16" x14ac:dyDescent="0.3">
      <c r="A2" s="2">
        <v>1</v>
      </c>
      <c r="B2" s="2" t="s">
        <v>146</v>
      </c>
      <c r="C2" s="2" t="s">
        <v>147</v>
      </c>
      <c r="D2" s="3">
        <v>40752</v>
      </c>
      <c r="E2" s="2" t="s">
        <v>148</v>
      </c>
      <c r="F2" s="2" t="s">
        <v>149</v>
      </c>
      <c r="G2" s="2">
        <f ca="1">DATEDIF(D2, TODAY(), "Y")</f>
        <v>14</v>
      </c>
      <c r="H2" s="3" t="str">
        <f t="shared" ref="H2:H45" ca="1" si="0">DATEDIF(D2, TODAY(), "Y") &amp; " years, " &amp; DATEDIF(D2, TODAY(), "YM") &amp; " months, " &amp; DATEDIF(D2, TODAY(), "MD") &amp; " days"</f>
        <v>14 years, 7 months, 0 days</v>
      </c>
      <c r="I2" s="3" t="str">
        <f ca="1">IF(G2&lt;11,"U11",
IF(G2&lt;13,"U13",
IF(G2&lt;15,"U15",
IF(G2&lt;17,"U17","U19"))))</f>
        <v>U15</v>
      </c>
      <c r="J2" s="4" t="s">
        <v>244</v>
      </c>
      <c r="K2" s="2">
        <f ca="1">COUNTIF($I$2:$I$163,"U11")</f>
        <v>1</v>
      </c>
      <c r="L2" s="2">
        <f ca="1">COUNTIF($I$2:$I$163,"U13")</f>
        <v>11</v>
      </c>
      <c r="M2" s="2">
        <f ca="1">COUNTIF($I$2:$I$163,"U15")</f>
        <v>28</v>
      </c>
      <c r="N2" s="2">
        <f ca="1">COUNTIF($I$2:$I$163,"U17")</f>
        <v>4</v>
      </c>
      <c r="O2" s="2">
        <f ca="1">COUNTIF($I$2:$I$163,"U19")</f>
        <v>0</v>
      </c>
      <c r="P2">
        <f ca="1">SUM(K2:O2)</f>
        <v>44</v>
      </c>
    </row>
    <row r="3" spans="1:16" x14ac:dyDescent="0.3">
      <c r="A3" s="2">
        <f>A2+1</f>
        <v>2</v>
      </c>
      <c r="B3" s="2" t="s">
        <v>150</v>
      </c>
      <c r="C3" s="2" t="s">
        <v>151</v>
      </c>
      <c r="D3" s="3">
        <v>41034</v>
      </c>
      <c r="E3" s="2" t="s">
        <v>148</v>
      </c>
      <c r="F3" s="2" t="s">
        <v>149</v>
      </c>
      <c r="G3" s="2">
        <f t="shared" ref="G3:G45" ca="1" si="1">DATEDIF(D3, TODAY(), "Y")</f>
        <v>13</v>
      </c>
      <c r="H3" s="3" t="str">
        <f t="shared" ca="1" si="0"/>
        <v>13 years, 9 months, 23 days</v>
      </c>
      <c r="I3" s="3" t="str">
        <f t="shared" ref="I3:I45" ca="1" si="2">IF(G3&lt;11,"U11",
IF(G3&lt;13,"U13",
IF(G3&lt;15,"U15",
IF(G3&lt;17,"U17","U19"))))</f>
        <v>U15</v>
      </c>
      <c r="J3" s="4" t="s">
        <v>245</v>
      </c>
      <c r="K3" s="2">
        <f ca="1">COUNTIFS(I2:I100,"U11",E2:E100,"male")</f>
        <v>1</v>
      </c>
      <c r="L3" s="2">
        <f ca="1">COUNTIFS(I2:I100,"U13",E2:E100,"male")</f>
        <v>8</v>
      </c>
      <c r="M3" s="2">
        <f ca="1">COUNTIFS(I2:I100,"U15",E2:E100,"male")</f>
        <v>23</v>
      </c>
      <c r="N3" s="2">
        <f ca="1">COUNTIFS(I2:I100,"U17",E2:E100,"male")</f>
        <v>4</v>
      </c>
      <c r="O3" s="2">
        <f ca="1">COUNTIFS(I2:I100,"U19",E2:E100,"male")</f>
        <v>0</v>
      </c>
      <c r="P3">
        <f t="shared" ref="P3:P4" ca="1" si="3">SUM(K3:O3)</f>
        <v>36</v>
      </c>
    </row>
    <row r="4" spans="1:16" x14ac:dyDescent="0.3">
      <c r="A4" s="2">
        <f t="shared" ref="A4:A64" si="4">A3+1</f>
        <v>3</v>
      </c>
      <c r="B4" s="2" t="s">
        <v>152</v>
      </c>
      <c r="C4" s="2" t="s">
        <v>153</v>
      </c>
      <c r="D4" s="3">
        <v>40642</v>
      </c>
      <c r="E4" s="2" t="s">
        <v>148</v>
      </c>
      <c r="F4" s="2" t="s">
        <v>149</v>
      </c>
      <c r="G4" s="2">
        <f t="shared" ca="1" si="1"/>
        <v>14</v>
      </c>
      <c r="H4" s="3" t="str">
        <f t="shared" ca="1" si="0"/>
        <v>14 years, 10 months, 19 days</v>
      </c>
      <c r="I4" s="3" t="str">
        <f t="shared" ca="1" si="2"/>
        <v>U15</v>
      </c>
      <c r="J4" s="4" t="s">
        <v>246</v>
      </c>
      <c r="K4" s="2">
        <f ca="1">COUNTIFS(I2:I100,"U11",E2:E100,"female")</f>
        <v>0</v>
      </c>
      <c r="L4" s="2">
        <f ca="1">COUNTIFS(I2:I100,"U13",E2:E100,"female")</f>
        <v>3</v>
      </c>
      <c r="M4" s="2">
        <f ca="1">COUNTIFS(I2:I100,"U15",E2:E100,"female")</f>
        <v>5</v>
      </c>
      <c r="N4" s="2">
        <f ca="1">COUNTIFS(I2:I100,"U17",E2:E100,"female")</f>
        <v>0</v>
      </c>
      <c r="O4" s="2">
        <f ca="1">COUNTIFS(I2:I100,"U19",E2:E100,"female")</f>
        <v>0</v>
      </c>
      <c r="P4">
        <f t="shared" ca="1" si="3"/>
        <v>8</v>
      </c>
    </row>
    <row r="5" spans="1:16" x14ac:dyDescent="0.3">
      <c r="A5" s="2">
        <f t="shared" si="4"/>
        <v>4</v>
      </c>
      <c r="B5" s="2" t="s">
        <v>154</v>
      </c>
      <c r="C5" s="2" t="s">
        <v>155</v>
      </c>
      <c r="D5" s="3">
        <v>40199</v>
      </c>
      <c r="E5" s="2" t="s">
        <v>148</v>
      </c>
      <c r="F5" s="2" t="s">
        <v>149</v>
      </c>
      <c r="G5" s="2">
        <f t="shared" ca="1" si="1"/>
        <v>16</v>
      </c>
      <c r="H5" s="3" t="str">
        <f t="shared" ca="1" si="0"/>
        <v>16 years, 1 months, 7 days</v>
      </c>
      <c r="I5" s="3" t="str">
        <f t="shared" ca="1" si="2"/>
        <v>U17</v>
      </c>
      <c r="J5" s="2"/>
      <c r="K5" s="2"/>
      <c r="L5" s="2"/>
      <c r="M5" s="2"/>
      <c r="N5" s="2"/>
      <c r="O5" s="2"/>
    </row>
    <row r="6" spans="1:16" x14ac:dyDescent="0.3">
      <c r="A6" s="2">
        <f t="shared" si="4"/>
        <v>5</v>
      </c>
      <c r="B6" s="2" t="s">
        <v>156</v>
      </c>
      <c r="C6" s="2" t="s">
        <v>157</v>
      </c>
      <c r="D6" s="3">
        <v>40418</v>
      </c>
      <c r="E6" s="2" t="s">
        <v>148</v>
      </c>
      <c r="F6" s="2" t="s">
        <v>149</v>
      </c>
      <c r="G6" s="2">
        <f t="shared" ca="1" si="1"/>
        <v>15</v>
      </c>
      <c r="H6" s="3" t="str">
        <f t="shared" ca="1" si="0"/>
        <v>15 years, 6 months, 0 days</v>
      </c>
      <c r="I6" s="3" t="str">
        <f t="shared" ca="1" si="2"/>
        <v>U17</v>
      </c>
      <c r="J6" s="2"/>
      <c r="K6" s="2"/>
      <c r="L6" s="2"/>
      <c r="M6" s="2"/>
      <c r="N6" s="2"/>
      <c r="O6" s="2"/>
    </row>
    <row r="7" spans="1:16" x14ac:dyDescent="0.3">
      <c r="A7" s="2">
        <f t="shared" si="4"/>
        <v>6</v>
      </c>
      <c r="B7" s="2" t="s">
        <v>158</v>
      </c>
      <c r="C7" s="2" t="s">
        <v>159</v>
      </c>
      <c r="D7" s="3">
        <v>40174</v>
      </c>
      <c r="E7" s="2" t="s">
        <v>148</v>
      </c>
      <c r="F7" s="2" t="s">
        <v>149</v>
      </c>
      <c r="G7" s="2">
        <f t="shared" ca="1" si="1"/>
        <v>16</v>
      </c>
      <c r="H7" s="3" t="str">
        <f t="shared" ca="1" si="0"/>
        <v>16 years, 2 months, 1 days</v>
      </c>
      <c r="I7" s="3" t="str">
        <f t="shared" ca="1" si="2"/>
        <v>U17</v>
      </c>
      <c r="J7" s="2"/>
      <c r="K7" s="2"/>
      <c r="L7" s="2"/>
      <c r="M7" s="2"/>
      <c r="N7" s="2"/>
      <c r="O7" s="2"/>
    </row>
    <row r="8" spans="1:16" x14ac:dyDescent="0.3">
      <c r="A8" s="2">
        <f t="shared" si="4"/>
        <v>7</v>
      </c>
      <c r="B8" s="2" t="s">
        <v>160</v>
      </c>
      <c r="C8" s="2" t="s">
        <v>161</v>
      </c>
      <c r="D8" s="3">
        <v>41150</v>
      </c>
      <c r="E8" s="2" t="s">
        <v>148</v>
      </c>
      <c r="F8" s="2" t="s">
        <v>149</v>
      </c>
      <c r="G8" s="2">
        <f t="shared" ca="1" si="1"/>
        <v>13</v>
      </c>
      <c r="H8" s="3" t="str">
        <f t="shared" ca="1" si="0"/>
        <v>13 years, 5 months, 30 days</v>
      </c>
      <c r="I8" s="3" t="str">
        <f t="shared" ca="1" si="2"/>
        <v>U15</v>
      </c>
      <c r="J8" s="2"/>
      <c r="K8" s="2"/>
      <c r="L8" s="2"/>
      <c r="M8" s="2"/>
      <c r="N8" s="2"/>
      <c r="O8" s="2"/>
    </row>
    <row r="9" spans="1:16" x14ac:dyDescent="0.3">
      <c r="A9" s="2">
        <f t="shared" si="4"/>
        <v>8</v>
      </c>
      <c r="B9" s="2" t="s">
        <v>162</v>
      </c>
      <c r="C9" s="2" t="s">
        <v>163</v>
      </c>
      <c r="D9" s="3">
        <v>41081</v>
      </c>
      <c r="E9" s="2" t="s">
        <v>148</v>
      </c>
      <c r="F9" s="2" t="s">
        <v>149</v>
      </c>
      <c r="G9" s="2">
        <f t="shared" ca="1" si="1"/>
        <v>13</v>
      </c>
      <c r="H9" s="3" t="str">
        <f t="shared" ca="1" si="0"/>
        <v>13 years, 8 months, 7 days</v>
      </c>
      <c r="I9" s="3" t="str">
        <f t="shared" ca="1" si="2"/>
        <v>U15</v>
      </c>
      <c r="J9" s="2"/>
      <c r="K9" s="2"/>
      <c r="L9" s="2"/>
      <c r="M9" s="2"/>
      <c r="N9" s="2"/>
      <c r="O9" s="2"/>
    </row>
    <row r="10" spans="1:16" x14ac:dyDescent="0.3">
      <c r="A10" s="2">
        <f t="shared" si="4"/>
        <v>9</v>
      </c>
      <c r="B10" s="2" t="s">
        <v>165</v>
      </c>
      <c r="C10" s="2" t="s">
        <v>57</v>
      </c>
      <c r="D10" s="3">
        <v>41268</v>
      </c>
      <c r="E10" s="2" t="s">
        <v>148</v>
      </c>
      <c r="F10" s="2" t="s">
        <v>27</v>
      </c>
      <c r="G10" s="2">
        <f t="shared" ca="1" si="1"/>
        <v>13</v>
      </c>
      <c r="H10" s="3" t="str">
        <f t="shared" ca="1" si="0"/>
        <v>13 years, 2 months, 3 days</v>
      </c>
      <c r="I10" s="3" t="str">
        <f t="shared" ca="1" si="2"/>
        <v>U15</v>
      </c>
      <c r="J10" s="2"/>
      <c r="K10" s="2"/>
      <c r="L10" s="2"/>
      <c r="M10" s="2"/>
      <c r="N10" s="2"/>
      <c r="O10" s="2"/>
    </row>
    <row r="11" spans="1:16" x14ac:dyDescent="0.3">
      <c r="A11" s="2">
        <f t="shared" si="4"/>
        <v>10</v>
      </c>
      <c r="B11" s="2" t="s">
        <v>166</v>
      </c>
      <c r="C11" s="2" t="s">
        <v>167</v>
      </c>
      <c r="D11" s="3">
        <v>41309</v>
      </c>
      <c r="E11" s="2" t="s">
        <v>148</v>
      </c>
      <c r="F11" s="2" t="s">
        <v>27</v>
      </c>
      <c r="G11" s="2">
        <f t="shared" ca="1" si="1"/>
        <v>13</v>
      </c>
      <c r="H11" s="3" t="str">
        <f t="shared" ca="1" si="0"/>
        <v>13 years, 0 months, 24 days</v>
      </c>
      <c r="I11" s="3" t="str">
        <f t="shared" ca="1" si="2"/>
        <v>U15</v>
      </c>
      <c r="J11" s="2"/>
      <c r="K11" s="2"/>
      <c r="L11" s="2"/>
      <c r="M11" s="2"/>
      <c r="N11" s="2"/>
      <c r="O11" s="2"/>
    </row>
    <row r="12" spans="1:16" x14ac:dyDescent="0.3">
      <c r="A12" s="2">
        <f t="shared" si="4"/>
        <v>11</v>
      </c>
      <c r="B12" s="2" t="s">
        <v>168</v>
      </c>
      <c r="C12" s="2" t="s">
        <v>169</v>
      </c>
      <c r="D12" s="3">
        <v>41477</v>
      </c>
      <c r="E12" s="2" t="s">
        <v>148</v>
      </c>
      <c r="F12" s="2" t="s">
        <v>27</v>
      </c>
      <c r="G12" s="2">
        <f t="shared" ca="1" si="1"/>
        <v>12</v>
      </c>
      <c r="H12" s="3" t="str">
        <f t="shared" ca="1" si="0"/>
        <v>12 years, 7 months, 6 days</v>
      </c>
      <c r="I12" s="3" t="str">
        <f t="shared" ca="1" si="2"/>
        <v>U13</v>
      </c>
      <c r="J12" s="2"/>
      <c r="K12" s="2"/>
      <c r="L12" s="2"/>
      <c r="M12" s="2"/>
      <c r="N12" s="2"/>
      <c r="O12" s="2"/>
    </row>
    <row r="13" spans="1:16" x14ac:dyDescent="0.3">
      <c r="A13" s="2">
        <f t="shared" si="4"/>
        <v>12</v>
      </c>
      <c r="B13" s="2" t="s">
        <v>170</v>
      </c>
      <c r="C13" s="2" t="s">
        <v>171</v>
      </c>
      <c r="D13" s="3">
        <v>41774</v>
      </c>
      <c r="E13" s="2" t="s">
        <v>148</v>
      </c>
      <c r="F13" s="2" t="s">
        <v>27</v>
      </c>
      <c r="G13" s="2">
        <f t="shared" ca="1" si="1"/>
        <v>11</v>
      </c>
      <c r="H13" s="3" t="str">
        <f t="shared" ca="1" si="0"/>
        <v>11 years, 9 months, 13 days</v>
      </c>
      <c r="I13" s="3" t="str">
        <f t="shared" ca="1" si="2"/>
        <v>U13</v>
      </c>
      <c r="J13" s="2"/>
      <c r="K13" s="2"/>
      <c r="L13" s="2"/>
      <c r="M13" s="2"/>
      <c r="N13" s="2"/>
      <c r="O13" s="2"/>
    </row>
    <row r="14" spans="1:16" x14ac:dyDescent="0.3">
      <c r="A14" s="2">
        <f t="shared" si="4"/>
        <v>13</v>
      </c>
      <c r="B14" s="2" t="s">
        <v>172</v>
      </c>
      <c r="C14" s="2" t="s">
        <v>173</v>
      </c>
      <c r="D14" s="3">
        <v>41180</v>
      </c>
      <c r="E14" s="2" t="s">
        <v>148</v>
      </c>
      <c r="F14" s="2" t="s">
        <v>27</v>
      </c>
      <c r="G14" s="2">
        <f t="shared" ca="1" si="1"/>
        <v>13</v>
      </c>
      <c r="H14" s="3" t="str">
        <f t="shared" ca="1" si="0"/>
        <v>13 years, 5 months, 0 days</v>
      </c>
      <c r="I14" s="3" t="str">
        <f t="shared" ca="1" si="2"/>
        <v>U15</v>
      </c>
      <c r="J14" s="2"/>
      <c r="K14" s="2"/>
      <c r="L14" s="2"/>
      <c r="M14" s="2"/>
      <c r="N14" s="2"/>
      <c r="O14" s="2"/>
    </row>
    <row r="15" spans="1:16" x14ac:dyDescent="0.3">
      <c r="A15" s="2">
        <f t="shared" si="4"/>
        <v>14</v>
      </c>
      <c r="B15" s="2" t="s">
        <v>174</v>
      </c>
      <c r="C15" s="2" t="s">
        <v>175</v>
      </c>
      <c r="D15" s="3">
        <v>41411</v>
      </c>
      <c r="E15" s="2" t="s">
        <v>148</v>
      </c>
      <c r="F15" s="2" t="s">
        <v>27</v>
      </c>
      <c r="G15" s="2">
        <f t="shared" ca="1" si="1"/>
        <v>12</v>
      </c>
      <c r="H15" s="3" t="str">
        <f t="shared" ca="1" si="0"/>
        <v>12 years, 9 months, 11 days</v>
      </c>
      <c r="I15" s="3" t="str">
        <f t="shared" ca="1" si="2"/>
        <v>U13</v>
      </c>
      <c r="J15" s="2"/>
      <c r="K15" s="2"/>
      <c r="L15" s="2"/>
      <c r="M15" s="2"/>
      <c r="N15" s="2"/>
      <c r="O15" s="2"/>
    </row>
    <row r="16" spans="1:16" x14ac:dyDescent="0.3">
      <c r="A16" s="2">
        <f t="shared" si="4"/>
        <v>15</v>
      </c>
      <c r="B16" s="2" t="s">
        <v>176</v>
      </c>
      <c r="C16" s="2" t="s">
        <v>177</v>
      </c>
      <c r="D16" s="3">
        <v>41167</v>
      </c>
      <c r="E16" s="2" t="s">
        <v>148</v>
      </c>
      <c r="F16" s="2" t="s">
        <v>27</v>
      </c>
      <c r="G16" s="2">
        <f t="shared" ca="1" si="1"/>
        <v>13</v>
      </c>
      <c r="H16" s="3" t="str">
        <f t="shared" ca="1" si="0"/>
        <v>13 years, 5 months, 13 days</v>
      </c>
      <c r="I16" s="3" t="str">
        <f t="shared" ca="1" si="2"/>
        <v>U15</v>
      </c>
      <c r="J16" s="2"/>
      <c r="K16" s="2"/>
      <c r="L16" s="2"/>
      <c r="M16" s="2"/>
      <c r="N16" s="2"/>
      <c r="O16" s="2"/>
    </row>
    <row r="17" spans="1:15" x14ac:dyDescent="0.3">
      <c r="A17" s="2">
        <f t="shared" si="4"/>
        <v>16</v>
      </c>
      <c r="B17" s="2" t="s">
        <v>178</v>
      </c>
      <c r="C17" s="2" t="s">
        <v>179</v>
      </c>
      <c r="D17" s="3">
        <v>41539</v>
      </c>
      <c r="E17" s="2" t="s">
        <v>148</v>
      </c>
      <c r="F17" s="2" t="s">
        <v>27</v>
      </c>
      <c r="G17" s="2">
        <f t="shared" ca="1" si="1"/>
        <v>12</v>
      </c>
      <c r="H17" s="3" t="str">
        <f t="shared" ca="1" si="0"/>
        <v>12 years, 5 months, 6 days</v>
      </c>
      <c r="I17" s="3" t="str">
        <f t="shared" ca="1" si="2"/>
        <v>U13</v>
      </c>
      <c r="J17" s="2"/>
      <c r="K17" s="2"/>
      <c r="L17" s="2"/>
      <c r="M17" s="2"/>
      <c r="N17" s="2"/>
      <c r="O17" s="2"/>
    </row>
    <row r="18" spans="1:15" x14ac:dyDescent="0.3">
      <c r="A18" s="2">
        <f t="shared" si="4"/>
        <v>17</v>
      </c>
      <c r="B18" s="2" t="s">
        <v>180</v>
      </c>
      <c r="C18" s="2" t="s">
        <v>181</v>
      </c>
      <c r="D18" s="3">
        <v>41171</v>
      </c>
      <c r="E18" s="2" t="s">
        <v>148</v>
      </c>
      <c r="F18" s="2" t="s">
        <v>27</v>
      </c>
      <c r="G18" s="2">
        <f t="shared" ca="1" si="1"/>
        <v>13</v>
      </c>
      <c r="H18" s="3" t="str">
        <f t="shared" ca="1" si="0"/>
        <v>13 years, 5 months, 9 days</v>
      </c>
      <c r="I18" s="3" t="str">
        <f t="shared" ca="1" si="2"/>
        <v>U15</v>
      </c>
      <c r="J18" s="2"/>
      <c r="K18" s="2"/>
      <c r="L18" s="2"/>
      <c r="M18" s="2"/>
      <c r="N18" s="2"/>
      <c r="O18" s="2"/>
    </row>
    <row r="19" spans="1:15" x14ac:dyDescent="0.3">
      <c r="A19" s="2">
        <f t="shared" si="4"/>
        <v>18</v>
      </c>
      <c r="B19" s="2" t="s">
        <v>182</v>
      </c>
      <c r="C19" s="2" t="s">
        <v>183</v>
      </c>
      <c r="D19" s="3">
        <v>41390</v>
      </c>
      <c r="E19" s="2" t="s">
        <v>148</v>
      </c>
      <c r="F19" s="2" t="s">
        <v>27</v>
      </c>
      <c r="G19" s="2">
        <f t="shared" ca="1" si="1"/>
        <v>12</v>
      </c>
      <c r="H19" s="3" t="str">
        <f t="shared" ca="1" si="0"/>
        <v>12 years, 10 months, 2 days</v>
      </c>
      <c r="I19" s="3" t="str">
        <f t="shared" ca="1" si="2"/>
        <v>U13</v>
      </c>
      <c r="J19" s="2"/>
      <c r="K19" s="2"/>
      <c r="L19" s="2"/>
      <c r="M19" s="2"/>
      <c r="N19" s="2"/>
      <c r="O19" s="2"/>
    </row>
    <row r="20" spans="1:15" x14ac:dyDescent="0.3">
      <c r="A20" s="2">
        <f t="shared" si="4"/>
        <v>19</v>
      </c>
      <c r="B20" s="2" t="s">
        <v>184</v>
      </c>
      <c r="C20" s="2" t="s">
        <v>185</v>
      </c>
      <c r="D20" s="3">
        <v>41594</v>
      </c>
      <c r="E20" s="2" t="s">
        <v>148</v>
      </c>
      <c r="F20" s="2" t="s">
        <v>27</v>
      </c>
      <c r="G20" s="2">
        <f t="shared" ca="1" si="1"/>
        <v>12</v>
      </c>
      <c r="H20" s="3" t="str">
        <f t="shared" ca="1" si="0"/>
        <v>12 years, 3 months, 12 days</v>
      </c>
      <c r="I20" s="3" t="str">
        <f t="shared" ca="1" si="2"/>
        <v>U13</v>
      </c>
      <c r="J20" s="2"/>
      <c r="K20" s="2"/>
      <c r="L20" s="2"/>
      <c r="M20" s="2"/>
      <c r="N20" s="2"/>
      <c r="O20" s="2"/>
    </row>
    <row r="21" spans="1:15" x14ac:dyDescent="0.3">
      <c r="A21" s="2">
        <f t="shared" si="4"/>
        <v>20</v>
      </c>
      <c r="B21" s="2" t="s">
        <v>186</v>
      </c>
      <c r="C21" s="2" t="s">
        <v>187</v>
      </c>
      <c r="D21" s="3">
        <v>41392</v>
      </c>
      <c r="E21" s="2" t="s">
        <v>148</v>
      </c>
      <c r="F21" s="2" t="s">
        <v>27</v>
      </c>
      <c r="G21" s="2">
        <f t="shared" ca="1" si="1"/>
        <v>12</v>
      </c>
      <c r="H21" s="3" t="str">
        <f t="shared" ca="1" si="0"/>
        <v>12 years, 10 months, 0 days</v>
      </c>
      <c r="I21" s="3" t="str">
        <f t="shared" ca="1" si="2"/>
        <v>U13</v>
      </c>
      <c r="J21" s="2"/>
      <c r="K21" s="2"/>
      <c r="L21" s="2"/>
      <c r="M21" s="2"/>
      <c r="N21" s="2"/>
      <c r="O21" s="2"/>
    </row>
    <row r="22" spans="1:15" x14ac:dyDescent="0.3">
      <c r="A22" s="2">
        <f t="shared" si="4"/>
        <v>21</v>
      </c>
      <c r="B22" s="2" t="s">
        <v>188</v>
      </c>
      <c r="C22" s="2" t="s">
        <v>189</v>
      </c>
      <c r="D22" s="3">
        <v>41297</v>
      </c>
      <c r="E22" s="2" t="s">
        <v>148</v>
      </c>
      <c r="F22" s="2" t="s">
        <v>27</v>
      </c>
      <c r="G22" s="2">
        <f t="shared" ca="1" si="1"/>
        <v>13</v>
      </c>
      <c r="H22" s="3" t="str">
        <f t="shared" ca="1" si="0"/>
        <v>13 years, 1 months, 5 days</v>
      </c>
      <c r="I22" s="3" t="str">
        <f t="shared" ca="1" si="2"/>
        <v>U15</v>
      </c>
      <c r="J22" s="2"/>
      <c r="K22" s="2"/>
      <c r="L22" s="2"/>
      <c r="M22" s="2"/>
      <c r="N22" s="2"/>
      <c r="O22" s="2"/>
    </row>
    <row r="23" spans="1:15" x14ac:dyDescent="0.3">
      <c r="A23" s="2">
        <f t="shared" si="4"/>
        <v>22</v>
      </c>
      <c r="B23" s="2" t="s">
        <v>190</v>
      </c>
      <c r="C23" s="2" t="s">
        <v>191</v>
      </c>
      <c r="D23" s="3">
        <v>41413</v>
      </c>
      <c r="E23" s="2" t="s">
        <v>148</v>
      </c>
      <c r="F23" s="2" t="s">
        <v>27</v>
      </c>
      <c r="G23" s="2">
        <f t="shared" ca="1" si="1"/>
        <v>12</v>
      </c>
      <c r="H23" s="3" t="str">
        <f t="shared" ca="1" si="0"/>
        <v>12 years, 9 months, 9 days</v>
      </c>
      <c r="I23" s="3" t="str">
        <f t="shared" ca="1" si="2"/>
        <v>U13</v>
      </c>
      <c r="J23" s="2"/>
      <c r="K23" s="2"/>
      <c r="L23" s="2"/>
      <c r="M23" s="2"/>
      <c r="N23" s="2"/>
      <c r="O23" s="2"/>
    </row>
    <row r="24" spans="1:15" x14ac:dyDescent="0.3">
      <c r="A24" s="2">
        <f t="shared" si="4"/>
        <v>23</v>
      </c>
      <c r="B24" s="2" t="s">
        <v>192</v>
      </c>
      <c r="C24" s="2" t="s">
        <v>193</v>
      </c>
      <c r="D24" s="3">
        <v>41284</v>
      </c>
      <c r="E24" s="2" t="s">
        <v>194</v>
      </c>
      <c r="F24" s="2" t="s">
        <v>27</v>
      </c>
      <c r="G24" s="2">
        <f t="shared" ca="1" si="1"/>
        <v>13</v>
      </c>
      <c r="H24" s="3" t="str">
        <f t="shared" ca="1" si="0"/>
        <v>13 years, 1 months, 18 days</v>
      </c>
      <c r="I24" s="3" t="str">
        <f t="shared" ca="1" si="2"/>
        <v>U15</v>
      </c>
      <c r="J24" s="2"/>
      <c r="K24" s="2"/>
      <c r="L24" s="2"/>
      <c r="M24" s="2"/>
      <c r="N24" s="2"/>
      <c r="O24" s="2"/>
    </row>
    <row r="25" spans="1:15" x14ac:dyDescent="0.3">
      <c r="A25" s="2">
        <f t="shared" si="4"/>
        <v>24</v>
      </c>
      <c r="B25" s="2" t="s">
        <v>195</v>
      </c>
      <c r="C25" s="2" t="s">
        <v>196</v>
      </c>
      <c r="D25" s="3">
        <v>41283</v>
      </c>
      <c r="E25" s="2" t="s">
        <v>194</v>
      </c>
      <c r="F25" s="2" t="s">
        <v>27</v>
      </c>
      <c r="G25" s="2">
        <f t="shared" ca="1" si="1"/>
        <v>13</v>
      </c>
      <c r="H25" s="3" t="str">
        <f t="shared" ca="1" si="0"/>
        <v>13 years, 1 months, 19 days</v>
      </c>
      <c r="I25" s="3" t="str">
        <f t="shared" ca="1" si="2"/>
        <v>U15</v>
      </c>
      <c r="J25" s="2"/>
      <c r="K25" s="2"/>
      <c r="L25" s="2"/>
      <c r="M25" s="2"/>
      <c r="N25" s="2"/>
      <c r="O25" s="2"/>
    </row>
    <row r="26" spans="1:15" x14ac:dyDescent="0.3">
      <c r="A26" s="2">
        <f t="shared" si="4"/>
        <v>25</v>
      </c>
      <c r="B26" s="2" t="s">
        <v>197</v>
      </c>
      <c r="C26" s="2" t="s">
        <v>200</v>
      </c>
      <c r="D26" s="3">
        <v>41304</v>
      </c>
      <c r="E26" s="2" t="s">
        <v>194</v>
      </c>
      <c r="F26" s="2" t="s">
        <v>27</v>
      </c>
      <c r="G26" s="2">
        <f t="shared" ca="1" si="1"/>
        <v>13</v>
      </c>
      <c r="H26" s="3" t="str">
        <f t="shared" ca="1" si="0"/>
        <v>13 years, 0 months, 29 days</v>
      </c>
      <c r="I26" s="3" t="str">
        <f t="shared" ca="1" si="2"/>
        <v>U15</v>
      </c>
      <c r="J26" s="2"/>
      <c r="K26" s="2"/>
      <c r="L26" s="2"/>
      <c r="M26" s="2"/>
      <c r="N26" s="2"/>
      <c r="O26" s="2"/>
    </row>
    <row r="27" spans="1:15" x14ac:dyDescent="0.3">
      <c r="A27" s="2">
        <f t="shared" si="4"/>
        <v>26</v>
      </c>
      <c r="B27" s="2" t="s">
        <v>201</v>
      </c>
      <c r="C27" s="2" t="s">
        <v>202</v>
      </c>
      <c r="D27" s="3">
        <v>41913</v>
      </c>
      <c r="E27" s="2" t="s">
        <v>194</v>
      </c>
      <c r="F27" s="2" t="s">
        <v>27</v>
      </c>
      <c r="G27" s="2">
        <f t="shared" ca="1" si="1"/>
        <v>11</v>
      </c>
      <c r="H27" s="3" t="str">
        <f t="shared" ca="1" si="0"/>
        <v>11 years, 4 months, 27 days</v>
      </c>
      <c r="I27" s="3" t="str">
        <f t="shared" ca="1" si="2"/>
        <v>U13</v>
      </c>
      <c r="J27" s="2"/>
      <c r="K27" s="2"/>
      <c r="L27" s="2"/>
      <c r="M27" s="2"/>
      <c r="N27" s="2"/>
      <c r="O27" s="2"/>
    </row>
    <row r="28" spans="1:15" x14ac:dyDescent="0.3">
      <c r="A28" s="2">
        <f t="shared" si="4"/>
        <v>27</v>
      </c>
      <c r="B28" s="2" t="s">
        <v>203</v>
      </c>
      <c r="C28" s="2" t="s">
        <v>204</v>
      </c>
      <c r="D28" s="3">
        <v>41762</v>
      </c>
      <c r="E28" s="2" t="s">
        <v>194</v>
      </c>
      <c r="F28" s="2" t="s">
        <v>27</v>
      </c>
      <c r="G28" s="2">
        <f t="shared" ca="1" si="1"/>
        <v>11</v>
      </c>
      <c r="H28" s="3" t="str">
        <f t="shared" ca="1" si="0"/>
        <v>11 years, 9 months, 25 days</v>
      </c>
      <c r="I28" s="3" t="str">
        <f t="shared" ca="1" si="2"/>
        <v>U13</v>
      </c>
      <c r="J28" s="2"/>
      <c r="K28" s="2"/>
      <c r="L28" s="2"/>
      <c r="M28" s="2"/>
      <c r="N28" s="2"/>
      <c r="O28" s="2"/>
    </row>
    <row r="29" spans="1:15" x14ac:dyDescent="0.3">
      <c r="A29" s="2">
        <f t="shared" si="4"/>
        <v>28</v>
      </c>
      <c r="B29" s="2" t="s">
        <v>184</v>
      </c>
      <c r="C29" s="2" t="s">
        <v>205</v>
      </c>
      <c r="D29" s="3">
        <v>41286</v>
      </c>
      <c r="E29" s="2" t="s">
        <v>194</v>
      </c>
      <c r="F29" s="2" t="s">
        <v>27</v>
      </c>
      <c r="G29" s="2">
        <f t="shared" ca="1" si="1"/>
        <v>13</v>
      </c>
      <c r="H29" s="2" t="str">
        <f t="shared" ca="1" si="0"/>
        <v>13 years, 1 months, 16 days</v>
      </c>
      <c r="I29" s="3" t="str">
        <f t="shared" ca="1" si="2"/>
        <v>U15</v>
      </c>
      <c r="J29" s="2"/>
      <c r="K29" s="2"/>
      <c r="L29" s="2"/>
      <c r="M29" s="2"/>
      <c r="N29" s="2"/>
      <c r="O29" s="2"/>
    </row>
    <row r="30" spans="1:15" x14ac:dyDescent="0.3">
      <c r="A30" s="2">
        <f t="shared" si="4"/>
        <v>29</v>
      </c>
      <c r="B30" s="2" t="s">
        <v>206</v>
      </c>
      <c r="C30" s="2" t="s">
        <v>207</v>
      </c>
      <c r="D30" s="3">
        <v>41430</v>
      </c>
      <c r="E30" s="2" t="s">
        <v>194</v>
      </c>
      <c r="F30" s="2" t="s">
        <v>27</v>
      </c>
      <c r="G30" s="2">
        <f t="shared" ca="1" si="1"/>
        <v>12</v>
      </c>
      <c r="H30" s="3" t="str">
        <f t="shared" ca="1" si="0"/>
        <v>12 years, 8 months, 23 days</v>
      </c>
      <c r="I30" s="3" t="str">
        <f t="shared" ca="1" si="2"/>
        <v>U13</v>
      </c>
      <c r="J30" s="2"/>
      <c r="K30" s="2"/>
      <c r="L30" s="2"/>
      <c r="M30" s="2"/>
      <c r="N30" s="2"/>
      <c r="O30" s="2"/>
    </row>
    <row r="31" spans="1:15" x14ac:dyDescent="0.3">
      <c r="A31" s="2">
        <f t="shared" si="4"/>
        <v>30</v>
      </c>
      <c r="B31" s="2" t="s">
        <v>208</v>
      </c>
      <c r="C31" s="2" t="s">
        <v>209</v>
      </c>
      <c r="D31" s="3">
        <v>41011</v>
      </c>
      <c r="E31" s="2" t="s">
        <v>194</v>
      </c>
      <c r="F31" s="2" t="s">
        <v>27</v>
      </c>
      <c r="G31" s="2">
        <f t="shared" ca="1" si="1"/>
        <v>13</v>
      </c>
      <c r="H31" s="3" t="str">
        <f t="shared" ca="1" si="0"/>
        <v>13 years, 10 months, 16 days</v>
      </c>
      <c r="I31" s="3" t="str">
        <f t="shared" ca="1" si="2"/>
        <v>U15</v>
      </c>
      <c r="J31" s="2"/>
      <c r="K31" s="2"/>
      <c r="L31" s="2"/>
      <c r="M31" s="2"/>
      <c r="N31" s="2"/>
      <c r="O31" s="2"/>
    </row>
    <row r="32" spans="1:15" x14ac:dyDescent="0.3">
      <c r="A32" s="2">
        <f t="shared" si="4"/>
        <v>31</v>
      </c>
      <c r="B32" s="2" t="s">
        <v>216</v>
      </c>
      <c r="C32" s="2" t="s">
        <v>217</v>
      </c>
      <c r="D32" s="3">
        <v>41175</v>
      </c>
      <c r="E32" s="2" t="s">
        <v>148</v>
      </c>
      <c r="F32" s="2" t="s">
        <v>218</v>
      </c>
      <c r="G32" s="2">
        <f t="shared" ca="1" si="1"/>
        <v>13</v>
      </c>
      <c r="H32" s="3" t="str">
        <f t="shared" ca="1" si="0"/>
        <v>13 years, 5 months, 5 days</v>
      </c>
      <c r="I32" s="3" t="str">
        <f t="shared" ca="1" si="2"/>
        <v>U15</v>
      </c>
      <c r="J32" s="2"/>
      <c r="K32" s="2"/>
      <c r="L32" s="2"/>
      <c r="M32" s="2"/>
      <c r="N32" s="2"/>
      <c r="O32" s="2"/>
    </row>
    <row r="33" spans="1:15" x14ac:dyDescent="0.3">
      <c r="A33" s="2">
        <f t="shared" si="4"/>
        <v>32</v>
      </c>
      <c r="B33" s="2" t="s">
        <v>219</v>
      </c>
      <c r="C33" s="2" t="s">
        <v>220</v>
      </c>
      <c r="D33" s="3">
        <v>40987</v>
      </c>
      <c r="E33" s="2" t="s">
        <v>148</v>
      </c>
      <c r="F33" s="2" t="s">
        <v>218</v>
      </c>
      <c r="G33" s="2">
        <f t="shared" ca="1" si="1"/>
        <v>13</v>
      </c>
      <c r="H33" s="3" t="str">
        <f t="shared" ca="1" si="0"/>
        <v>13 years, 11 months, 9 days</v>
      </c>
      <c r="I33" s="3" t="str">
        <f t="shared" ca="1" si="2"/>
        <v>U15</v>
      </c>
      <c r="J33" s="2"/>
      <c r="K33" s="2"/>
      <c r="L33" s="2"/>
      <c r="M33" s="2"/>
      <c r="N33" s="2"/>
      <c r="O33" s="2"/>
    </row>
    <row r="34" spans="1:15" x14ac:dyDescent="0.3">
      <c r="A34" s="2">
        <f t="shared" si="4"/>
        <v>33</v>
      </c>
      <c r="B34" s="2" t="s">
        <v>221</v>
      </c>
      <c r="C34" s="2" t="s">
        <v>222</v>
      </c>
      <c r="D34" s="3">
        <v>40933</v>
      </c>
      <c r="E34" s="2" t="s">
        <v>148</v>
      </c>
      <c r="F34" s="2" t="s">
        <v>218</v>
      </c>
      <c r="G34" s="2">
        <f t="shared" ca="1" si="1"/>
        <v>14</v>
      </c>
      <c r="H34" s="3" t="str">
        <f t="shared" ca="1" si="0"/>
        <v>14 years, 1 months, 3 days</v>
      </c>
      <c r="I34" s="3" t="str">
        <f t="shared" ca="1" si="2"/>
        <v>U15</v>
      </c>
      <c r="J34" s="2"/>
      <c r="K34" s="2"/>
      <c r="L34" s="2"/>
      <c r="M34" s="2"/>
      <c r="N34" s="2"/>
      <c r="O34" s="2"/>
    </row>
    <row r="35" spans="1:15" x14ac:dyDescent="0.3">
      <c r="A35" s="2">
        <f t="shared" si="4"/>
        <v>34</v>
      </c>
      <c r="B35" s="2" t="s">
        <v>223</v>
      </c>
      <c r="C35" s="2" t="s">
        <v>224</v>
      </c>
      <c r="D35" s="3">
        <v>41264</v>
      </c>
      <c r="E35" s="2" t="s">
        <v>148</v>
      </c>
      <c r="F35" s="2" t="s">
        <v>218</v>
      </c>
      <c r="G35" s="2">
        <f t="shared" ca="1" si="1"/>
        <v>13</v>
      </c>
      <c r="H35" s="3" t="str">
        <f t="shared" ca="1" si="0"/>
        <v>13 years, 2 months, 7 days</v>
      </c>
      <c r="I35" s="3" t="str">
        <f t="shared" ca="1" si="2"/>
        <v>U15</v>
      </c>
      <c r="J35" s="2"/>
      <c r="K35" s="2"/>
      <c r="L35" s="2"/>
      <c r="M35" s="2"/>
      <c r="N35" s="2"/>
      <c r="O35" s="2"/>
    </row>
    <row r="36" spans="1:15" x14ac:dyDescent="0.3">
      <c r="A36" s="2">
        <f t="shared" si="4"/>
        <v>35</v>
      </c>
      <c r="B36" s="2" t="s">
        <v>225</v>
      </c>
      <c r="C36" s="2" t="s">
        <v>226</v>
      </c>
      <c r="D36" s="3">
        <v>40872</v>
      </c>
      <c r="E36" s="2" t="s">
        <v>148</v>
      </c>
      <c r="F36" s="2" t="s">
        <v>218</v>
      </c>
      <c r="G36" s="2">
        <f t="shared" ca="1" si="1"/>
        <v>14</v>
      </c>
      <c r="H36" s="3" t="str">
        <f t="shared" ca="1" si="0"/>
        <v>14 years, 3 months, 3 days</v>
      </c>
      <c r="I36" s="3" t="str">
        <f t="shared" ca="1" si="2"/>
        <v>U15</v>
      </c>
      <c r="J36" s="2"/>
      <c r="K36" s="2"/>
      <c r="L36" s="2"/>
      <c r="M36" s="2"/>
      <c r="N36" s="2"/>
      <c r="O36" s="2"/>
    </row>
    <row r="37" spans="1:15" x14ac:dyDescent="0.3">
      <c r="A37" s="2">
        <f t="shared" si="4"/>
        <v>36</v>
      </c>
      <c r="B37" s="2" t="s">
        <v>180</v>
      </c>
      <c r="C37" s="2" t="s">
        <v>227</v>
      </c>
      <c r="D37" s="3">
        <v>41168</v>
      </c>
      <c r="E37" s="2" t="s">
        <v>148</v>
      </c>
      <c r="F37" s="2" t="s">
        <v>218</v>
      </c>
      <c r="G37" s="2">
        <f t="shared" ca="1" si="1"/>
        <v>13</v>
      </c>
      <c r="H37" s="3" t="str">
        <f t="shared" ca="1" si="0"/>
        <v>13 years, 5 months, 12 days</v>
      </c>
      <c r="I37" s="3" t="str">
        <f t="shared" ca="1" si="2"/>
        <v>U15</v>
      </c>
      <c r="J37" s="2"/>
      <c r="K37" s="2"/>
      <c r="L37" s="2"/>
      <c r="M37" s="2"/>
      <c r="N37" s="2"/>
      <c r="O37" s="2"/>
    </row>
    <row r="38" spans="1:15" x14ac:dyDescent="0.3">
      <c r="A38" s="2">
        <f t="shared" si="4"/>
        <v>37</v>
      </c>
      <c r="B38" s="2" t="s">
        <v>228</v>
      </c>
      <c r="C38" s="2" t="s">
        <v>229</v>
      </c>
      <c r="D38" s="3">
        <v>42122</v>
      </c>
      <c r="E38" s="2" t="s">
        <v>148</v>
      </c>
      <c r="F38" s="2" t="s">
        <v>218</v>
      </c>
      <c r="G38" s="2">
        <f t="shared" ca="1" si="1"/>
        <v>10</v>
      </c>
      <c r="H38" s="3" t="str">
        <f t="shared" ca="1" si="0"/>
        <v>10 years, 10 months, 0 days</v>
      </c>
      <c r="I38" s="3" t="str">
        <f t="shared" ca="1" si="2"/>
        <v>U11</v>
      </c>
      <c r="J38" s="2"/>
      <c r="K38" s="2"/>
      <c r="L38" s="2"/>
      <c r="M38" s="2"/>
      <c r="N38" s="2"/>
      <c r="O38" s="2"/>
    </row>
    <row r="39" spans="1:15" x14ac:dyDescent="0.3">
      <c r="A39" s="2">
        <f t="shared" si="4"/>
        <v>38</v>
      </c>
      <c r="B39" s="2" t="s">
        <v>230</v>
      </c>
      <c r="C39" s="2" t="s">
        <v>231</v>
      </c>
      <c r="D39" s="3">
        <v>41036</v>
      </c>
      <c r="E39" s="2" t="s">
        <v>148</v>
      </c>
      <c r="F39" s="2" t="s">
        <v>218</v>
      </c>
      <c r="G39" s="2">
        <f t="shared" ca="1" si="1"/>
        <v>13</v>
      </c>
      <c r="H39" s="3" t="str">
        <f t="shared" ca="1" si="0"/>
        <v>13 years, 9 months, 21 days</v>
      </c>
      <c r="I39" s="3" t="str">
        <f t="shared" ca="1" si="2"/>
        <v>U15</v>
      </c>
      <c r="J39" s="2"/>
      <c r="K39" s="2"/>
      <c r="L39" s="2"/>
      <c r="M39" s="2"/>
      <c r="N39" s="2"/>
      <c r="O39" s="2"/>
    </row>
    <row r="40" spans="1:15" x14ac:dyDescent="0.3">
      <c r="A40" s="2">
        <f t="shared" si="4"/>
        <v>39</v>
      </c>
      <c r="B40" s="2" t="s">
        <v>232</v>
      </c>
      <c r="C40" s="2" t="s">
        <v>233</v>
      </c>
      <c r="D40" s="3">
        <v>40936</v>
      </c>
      <c r="E40" s="2" t="s">
        <v>148</v>
      </c>
      <c r="F40" s="2" t="s">
        <v>218</v>
      </c>
      <c r="G40" s="2">
        <f t="shared" ca="1" si="1"/>
        <v>14</v>
      </c>
      <c r="H40" s="3" t="str">
        <f t="shared" ca="1" si="0"/>
        <v>14 years, 1 months, 0 days</v>
      </c>
      <c r="I40" s="3" t="str">
        <f t="shared" ca="1" si="2"/>
        <v>U15</v>
      </c>
      <c r="J40" s="2"/>
      <c r="K40" s="2"/>
      <c r="L40" s="2"/>
      <c r="M40" s="2"/>
      <c r="N40" s="2"/>
      <c r="O40" s="2"/>
    </row>
    <row r="41" spans="1:15" x14ac:dyDescent="0.3">
      <c r="A41" s="2">
        <f t="shared" si="4"/>
        <v>40</v>
      </c>
      <c r="B41" s="2" t="s">
        <v>234</v>
      </c>
      <c r="C41" s="2" t="s">
        <v>235</v>
      </c>
      <c r="D41" s="3">
        <v>40451</v>
      </c>
      <c r="E41" s="2" t="s">
        <v>148</v>
      </c>
      <c r="F41" s="2" t="s">
        <v>218</v>
      </c>
      <c r="G41" s="2">
        <f t="shared" ca="1" si="1"/>
        <v>15</v>
      </c>
      <c r="H41" s="3" t="str">
        <f t="shared" ca="1" si="0"/>
        <v>15 years, 4 months, 29 days</v>
      </c>
      <c r="I41" s="3" t="str">
        <f t="shared" ca="1" si="2"/>
        <v>U17</v>
      </c>
      <c r="J41" s="2"/>
      <c r="K41" s="2"/>
      <c r="L41" s="2"/>
      <c r="M41" s="2"/>
      <c r="N41" s="2"/>
      <c r="O41" s="2"/>
    </row>
    <row r="42" spans="1:15" x14ac:dyDescent="0.3">
      <c r="A42" s="2">
        <f t="shared" si="4"/>
        <v>41</v>
      </c>
      <c r="B42" s="2" t="s">
        <v>236</v>
      </c>
      <c r="C42" s="2" t="s">
        <v>237</v>
      </c>
      <c r="D42" s="3">
        <v>40935</v>
      </c>
      <c r="E42" s="2" t="s">
        <v>148</v>
      </c>
      <c r="F42" s="2" t="s">
        <v>218</v>
      </c>
      <c r="G42" s="2">
        <f t="shared" ca="1" si="1"/>
        <v>14</v>
      </c>
      <c r="H42" s="3" t="str">
        <f t="shared" ca="1" si="0"/>
        <v>14 years, 1 months, 1 days</v>
      </c>
      <c r="I42" s="3" t="str">
        <f t="shared" ca="1" si="2"/>
        <v>U15</v>
      </c>
      <c r="J42" s="2"/>
      <c r="K42" s="2"/>
      <c r="L42" s="2"/>
      <c r="M42" s="2"/>
      <c r="N42" s="2"/>
      <c r="O42" s="2"/>
    </row>
    <row r="43" spans="1:15" x14ac:dyDescent="0.3">
      <c r="A43" s="2">
        <f t="shared" si="4"/>
        <v>42</v>
      </c>
      <c r="B43" s="2" t="s">
        <v>238</v>
      </c>
      <c r="C43" s="2" t="s">
        <v>239</v>
      </c>
      <c r="D43" s="3">
        <v>41279</v>
      </c>
      <c r="E43" s="2" t="s">
        <v>148</v>
      </c>
      <c r="F43" s="2" t="s">
        <v>218</v>
      </c>
      <c r="G43" s="2">
        <f t="shared" ca="1" si="1"/>
        <v>13</v>
      </c>
      <c r="H43" s="3" t="str">
        <f t="shared" ca="1" si="0"/>
        <v>13 years, 1 months, 23 days</v>
      </c>
      <c r="I43" s="3" t="str">
        <f t="shared" ca="1" si="2"/>
        <v>U15</v>
      </c>
      <c r="J43" s="2"/>
      <c r="K43" s="2"/>
      <c r="L43" s="2"/>
      <c r="M43" s="2"/>
      <c r="N43" s="2"/>
      <c r="O43" s="2"/>
    </row>
    <row r="44" spans="1:15" x14ac:dyDescent="0.3">
      <c r="A44" s="2">
        <f t="shared" si="4"/>
        <v>43</v>
      </c>
      <c r="B44" s="2" t="s">
        <v>240</v>
      </c>
      <c r="C44" s="2" t="s">
        <v>241</v>
      </c>
      <c r="D44" s="3">
        <v>41279</v>
      </c>
      <c r="E44" s="2" t="s">
        <v>148</v>
      </c>
      <c r="F44" s="2" t="s">
        <v>218</v>
      </c>
      <c r="G44" s="2">
        <f t="shared" ca="1" si="1"/>
        <v>13</v>
      </c>
      <c r="H44" s="3" t="str">
        <f t="shared" ca="1" si="0"/>
        <v>13 years, 1 months, 23 days</v>
      </c>
      <c r="I44" s="3" t="str">
        <f t="shared" ca="1" si="2"/>
        <v>U15</v>
      </c>
      <c r="J44" s="2"/>
      <c r="K44" s="2"/>
      <c r="L44" s="2"/>
      <c r="M44" s="2"/>
      <c r="N44" s="2"/>
      <c r="O44" s="2"/>
    </row>
    <row r="45" spans="1:15" x14ac:dyDescent="0.3">
      <c r="A45" s="2">
        <f t="shared" si="4"/>
        <v>44</v>
      </c>
      <c r="B45" s="2" t="s">
        <v>242</v>
      </c>
      <c r="C45" s="2" t="s">
        <v>243</v>
      </c>
      <c r="D45" s="3">
        <v>41279</v>
      </c>
      <c r="E45" s="2" t="s">
        <v>148</v>
      </c>
      <c r="F45" s="2" t="s">
        <v>218</v>
      </c>
      <c r="G45" s="2">
        <f t="shared" ca="1" si="1"/>
        <v>13</v>
      </c>
      <c r="H45" s="3" t="str">
        <f t="shared" ca="1" si="0"/>
        <v>13 years, 1 months, 23 days</v>
      </c>
      <c r="I45" s="3" t="str">
        <f t="shared" ca="1" si="2"/>
        <v>U15</v>
      </c>
      <c r="J45" s="2"/>
      <c r="K45" s="2"/>
      <c r="L45" s="2"/>
      <c r="M45" s="2"/>
      <c r="N45" s="2"/>
      <c r="O45" s="2"/>
    </row>
    <row r="46" spans="1:15" x14ac:dyDescent="0.3">
      <c r="A46" s="2">
        <f t="shared" si="4"/>
        <v>45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</row>
    <row r="47" spans="1:15" x14ac:dyDescent="0.3">
      <c r="A47" s="2">
        <f t="shared" si="4"/>
        <v>46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</row>
    <row r="48" spans="1:15" x14ac:dyDescent="0.3">
      <c r="A48" s="2">
        <f t="shared" si="4"/>
        <v>47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</row>
    <row r="49" spans="1:15" x14ac:dyDescent="0.3">
      <c r="A49" s="2">
        <f t="shared" si="4"/>
        <v>48</v>
      </c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</row>
    <row r="50" spans="1:15" x14ac:dyDescent="0.3">
      <c r="A50" s="2">
        <f t="shared" si="4"/>
        <v>49</v>
      </c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</row>
    <row r="51" spans="1:15" x14ac:dyDescent="0.3">
      <c r="A51" s="2">
        <f t="shared" si="4"/>
        <v>50</v>
      </c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</row>
    <row r="52" spans="1:15" x14ac:dyDescent="0.3">
      <c r="A52" s="2">
        <f t="shared" si="4"/>
        <v>51</v>
      </c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</row>
    <row r="53" spans="1:15" x14ac:dyDescent="0.3">
      <c r="A53" s="2">
        <f t="shared" si="4"/>
        <v>52</v>
      </c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</row>
    <row r="54" spans="1:15" x14ac:dyDescent="0.3">
      <c r="A54" s="2">
        <f t="shared" si="4"/>
        <v>53</v>
      </c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</row>
    <row r="55" spans="1:15" x14ac:dyDescent="0.3">
      <c r="A55" s="2">
        <f t="shared" si="4"/>
        <v>54</v>
      </c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</row>
    <row r="56" spans="1:15" x14ac:dyDescent="0.3">
      <c r="A56" s="2">
        <f t="shared" si="4"/>
        <v>55</v>
      </c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</row>
    <row r="57" spans="1:15" x14ac:dyDescent="0.3">
      <c r="A57" s="2">
        <f t="shared" si="4"/>
        <v>56</v>
      </c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</row>
    <row r="58" spans="1:15" x14ac:dyDescent="0.3">
      <c r="A58" s="2">
        <f t="shared" si="4"/>
        <v>57</v>
      </c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</row>
    <row r="59" spans="1:15" x14ac:dyDescent="0.3">
      <c r="A59" s="2">
        <f t="shared" si="4"/>
        <v>58</v>
      </c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</row>
    <row r="60" spans="1:15" x14ac:dyDescent="0.3">
      <c r="A60" s="2">
        <f t="shared" si="4"/>
        <v>59</v>
      </c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</row>
    <row r="61" spans="1:15" x14ac:dyDescent="0.3">
      <c r="A61" s="2">
        <f t="shared" si="4"/>
        <v>60</v>
      </c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</row>
    <row r="62" spans="1:15" x14ac:dyDescent="0.3">
      <c r="A62" s="2">
        <f t="shared" si="4"/>
        <v>61</v>
      </c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</row>
    <row r="63" spans="1:15" x14ac:dyDescent="0.3">
      <c r="A63" s="2">
        <f t="shared" si="4"/>
        <v>62</v>
      </c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</row>
    <row r="64" spans="1:15" x14ac:dyDescent="0.3">
      <c r="A64" s="2">
        <f t="shared" si="4"/>
        <v>63</v>
      </c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</row>
    <row r="65" spans="1:15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</row>
    <row r="66" spans="1:15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</row>
    <row r="67" spans="1:15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</row>
    <row r="68" spans="1:15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</row>
    <row r="69" spans="1:15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</row>
    <row r="70" spans="1:15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</row>
    <row r="71" spans="1:15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</row>
    <row r="72" spans="1:15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</row>
    <row r="73" spans="1:15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</row>
    <row r="74" spans="1:15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</row>
    <row r="75" spans="1:15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</row>
    <row r="76" spans="1:15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</row>
    <row r="77" spans="1:15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</row>
    <row r="78" spans="1:15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</row>
    <row r="79" spans="1:15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</row>
    <row r="80" spans="1:15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</row>
    <row r="81" spans="1:15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</row>
    <row r="82" spans="1:15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</row>
    <row r="83" spans="1:15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</row>
    <row r="84" spans="1:15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</row>
    <row r="85" spans="1:15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</row>
    <row r="86" spans="1:15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</row>
    <row r="87" spans="1:15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</row>
    <row r="88" spans="1:15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</row>
    <row r="89" spans="1:15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</row>
    <row r="90" spans="1:15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</row>
    <row r="91" spans="1:15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</row>
    <row r="92" spans="1:15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</row>
    <row r="93" spans="1:15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</row>
    <row r="94" spans="1:15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</row>
    <row r="95" spans="1:15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</row>
    <row r="96" spans="1:15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</row>
    <row r="97" spans="1:15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</row>
    <row r="98" spans="1:15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</row>
    <row r="99" spans="1:15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</row>
    <row r="100" spans="1:15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</row>
    <row r="101" spans="1:15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</row>
    <row r="102" spans="1:15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</row>
    <row r="103" spans="1:15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</row>
    <row r="104" spans="1:15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</row>
    <row r="105" spans="1:15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</row>
    <row r="106" spans="1:15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</row>
    <row r="107" spans="1:15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</row>
    <row r="108" spans="1:15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</row>
    <row r="109" spans="1:15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</row>
    <row r="110" spans="1:15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</row>
    <row r="111" spans="1:15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</row>
    <row r="112" spans="1:15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</row>
    <row r="113" spans="1:15" x14ac:dyDescent="0.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</row>
    <row r="114" spans="1:15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</row>
    <row r="115" spans="1:15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</row>
    <row r="116" spans="1:15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</row>
    <row r="117" spans="1:15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</row>
    <row r="118" spans="1:15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</row>
    <row r="119" spans="1:15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</row>
    <row r="120" spans="1:15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</row>
    <row r="121" spans="1:15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</row>
    <row r="122" spans="1:15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</row>
    <row r="123" spans="1:15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</row>
    <row r="124" spans="1:15" x14ac:dyDescent="0.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</row>
    <row r="125" spans="1:15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</row>
    <row r="126" spans="1:15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</row>
    <row r="127" spans="1:15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</row>
    <row r="128" spans="1:15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</row>
    <row r="129" spans="1:15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</row>
    <row r="130" spans="1:15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</row>
    <row r="131" spans="1:15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</row>
    <row r="132" spans="1:15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</row>
    <row r="133" spans="1:15" x14ac:dyDescent="0.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</row>
    <row r="134" spans="1:15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</row>
    <row r="135" spans="1:15" x14ac:dyDescent="0.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</row>
    <row r="136" spans="1:15" x14ac:dyDescent="0.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</row>
    <row r="137" spans="1:15" x14ac:dyDescent="0.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</row>
    <row r="138" spans="1:15" x14ac:dyDescent="0.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</row>
    <row r="139" spans="1:15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</row>
    <row r="140" spans="1:15" x14ac:dyDescent="0.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</row>
    <row r="141" spans="1:15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</row>
    <row r="142" spans="1:15" x14ac:dyDescent="0.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</row>
    <row r="143" spans="1:15" x14ac:dyDescent="0.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</row>
    <row r="144" spans="1:15" x14ac:dyDescent="0.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</row>
    <row r="145" spans="1:15" x14ac:dyDescent="0.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</row>
    <row r="146" spans="1:15" x14ac:dyDescent="0.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</row>
    <row r="147" spans="1:15" x14ac:dyDescent="0.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</row>
    <row r="148" spans="1:15" x14ac:dyDescent="0.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</row>
    <row r="149" spans="1:15" x14ac:dyDescent="0.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</row>
    <row r="150" spans="1:15" x14ac:dyDescent="0.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</row>
    <row r="151" spans="1:15" x14ac:dyDescent="0.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</row>
    <row r="152" spans="1:15" x14ac:dyDescent="0.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</row>
    <row r="153" spans="1:15" x14ac:dyDescent="0.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</row>
    <row r="154" spans="1:15" x14ac:dyDescent="0.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</row>
    <row r="155" spans="1:15" x14ac:dyDescent="0.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</row>
    <row r="156" spans="1:15" x14ac:dyDescent="0.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</row>
    <row r="157" spans="1:15" x14ac:dyDescent="0.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</row>
    <row r="158" spans="1:15" x14ac:dyDescent="0.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</row>
    <row r="159" spans="1:15" x14ac:dyDescent="0.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</row>
    <row r="160" spans="1:15" x14ac:dyDescent="0.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</row>
    <row r="161" spans="1:15" x14ac:dyDescent="0.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</row>
    <row r="162" spans="1:15" x14ac:dyDescent="0.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</row>
    <row r="163" spans="1:15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</row>
  </sheetData>
  <printOptions gridLines="1"/>
  <pageMargins left="0.70866141732283472" right="0.70866141732283472" top="0.74803149606299213" bottom="0.74803149606299213" header="0.31496062992125984" footer="0.31496062992125984"/>
  <pageSetup orientation="portrait" blackAndWhite="1" horizontalDpi="4294967295" verticalDpi="4294967295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FEFA9D-F10F-4D0B-AFDE-F9CEC9A1F357}">
  <dimension ref="A1:F45"/>
  <sheetViews>
    <sheetView topLeftCell="A29" workbookViewId="0">
      <selection activeCell="A46" sqref="A46"/>
    </sheetView>
  </sheetViews>
  <sheetFormatPr defaultRowHeight="14.4" x14ac:dyDescent="0.3"/>
  <cols>
    <col min="1" max="1" width="29.44140625" customWidth="1"/>
    <col min="3" max="3" width="13.6640625" bestFit="1" customWidth="1"/>
    <col min="4" max="4" width="13.21875" bestFit="1" customWidth="1"/>
    <col min="5" max="5" width="10.44140625" bestFit="1" customWidth="1"/>
  </cols>
  <sheetData>
    <row r="1" spans="1:6" x14ac:dyDescent="0.3">
      <c r="A1" s="1" t="s">
        <v>0</v>
      </c>
      <c r="B1" s="1" t="s">
        <v>1</v>
      </c>
      <c r="C1" s="1" t="s">
        <v>12</v>
      </c>
      <c r="D1" s="1" t="s">
        <v>13</v>
      </c>
    </row>
    <row r="2" spans="1:6" x14ac:dyDescent="0.3">
      <c r="A2" t="s">
        <v>14</v>
      </c>
      <c r="B2" t="s">
        <v>15</v>
      </c>
      <c r="C2" t="s">
        <v>16</v>
      </c>
      <c r="D2" t="s">
        <v>25</v>
      </c>
    </row>
    <row r="3" spans="1:6" x14ac:dyDescent="0.3">
      <c r="A3" t="s">
        <v>18</v>
      </c>
      <c r="B3" t="s">
        <v>17</v>
      </c>
      <c r="C3" t="s">
        <v>19</v>
      </c>
      <c r="D3" t="s">
        <v>19</v>
      </c>
    </row>
    <row r="4" spans="1:6" x14ac:dyDescent="0.3">
      <c r="A4" t="s">
        <v>60</v>
      </c>
      <c r="B4" t="s">
        <v>20</v>
      </c>
      <c r="C4" t="s">
        <v>19</v>
      </c>
      <c r="D4" t="s">
        <v>29</v>
      </c>
      <c r="E4" t="s">
        <v>59</v>
      </c>
      <c r="F4" t="s">
        <v>61</v>
      </c>
    </row>
    <row r="5" spans="1:6" x14ac:dyDescent="0.3">
      <c r="A5" t="s">
        <v>21</v>
      </c>
      <c r="B5" t="s">
        <v>22</v>
      </c>
      <c r="C5" t="s">
        <v>19</v>
      </c>
      <c r="D5" t="s">
        <v>19</v>
      </c>
    </row>
    <row r="6" spans="1:6" x14ac:dyDescent="0.3">
      <c r="A6" t="s">
        <v>26</v>
      </c>
      <c r="B6" t="s">
        <v>27</v>
      </c>
      <c r="C6" t="s">
        <v>25</v>
      </c>
    </row>
    <row r="7" spans="1:6" x14ac:dyDescent="0.3">
      <c r="A7" t="s">
        <v>28</v>
      </c>
      <c r="B7" t="s">
        <v>17</v>
      </c>
      <c r="C7" t="s">
        <v>25</v>
      </c>
      <c r="D7" t="s">
        <v>58</v>
      </c>
    </row>
    <row r="8" spans="1:6" x14ac:dyDescent="0.3">
      <c r="A8" t="s">
        <v>62</v>
      </c>
      <c r="B8" t="s">
        <v>63</v>
      </c>
      <c r="C8" t="s">
        <v>64</v>
      </c>
      <c r="D8" t="s">
        <v>62</v>
      </c>
      <c r="E8" t="s">
        <v>76</v>
      </c>
    </row>
    <row r="9" spans="1:6" x14ac:dyDescent="0.3">
      <c r="A9" t="s">
        <v>65</v>
      </c>
      <c r="B9" t="s">
        <v>66</v>
      </c>
      <c r="C9" t="s">
        <v>64</v>
      </c>
      <c r="D9" t="s">
        <v>64</v>
      </c>
      <c r="E9" t="s">
        <v>76</v>
      </c>
    </row>
    <row r="10" spans="1:6" x14ac:dyDescent="0.3">
      <c r="A10" t="s">
        <v>67</v>
      </c>
      <c r="B10" t="s">
        <v>66</v>
      </c>
      <c r="C10" t="s">
        <v>64</v>
      </c>
      <c r="D10" t="s">
        <v>64</v>
      </c>
      <c r="E10" t="s">
        <v>76</v>
      </c>
    </row>
    <row r="11" spans="1:6" x14ac:dyDescent="0.3">
      <c r="A11" t="s">
        <v>68</v>
      </c>
      <c r="B11" t="s">
        <v>69</v>
      </c>
      <c r="C11" t="s">
        <v>64</v>
      </c>
      <c r="D11" t="s">
        <v>64</v>
      </c>
      <c r="E11" t="s">
        <v>76</v>
      </c>
    </row>
    <row r="12" spans="1:6" x14ac:dyDescent="0.3">
      <c r="A12" t="s">
        <v>108</v>
      </c>
      <c r="B12" t="s">
        <v>8</v>
      </c>
      <c r="C12" t="s">
        <v>64</v>
      </c>
      <c r="D12" t="s">
        <v>64</v>
      </c>
    </row>
    <row r="13" spans="1:6" x14ac:dyDescent="0.3">
      <c r="A13" t="s">
        <v>79</v>
      </c>
      <c r="B13" t="s">
        <v>20</v>
      </c>
      <c r="C13" t="s">
        <v>64</v>
      </c>
      <c r="D13" t="s">
        <v>64</v>
      </c>
      <c r="E13" t="s">
        <v>135</v>
      </c>
    </row>
    <row r="14" spans="1:6" x14ac:dyDescent="0.3">
      <c r="A14" t="s">
        <v>80</v>
      </c>
      <c r="B14" t="s">
        <v>83</v>
      </c>
      <c r="C14" t="s">
        <v>64</v>
      </c>
      <c r="D14" t="s">
        <v>64</v>
      </c>
    </row>
    <row r="15" spans="1:6" x14ac:dyDescent="0.3">
      <c r="A15" t="s">
        <v>81</v>
      </c>
      <c r="B15" t="s">
        <v>82</v>
      </c>
      <c r="C15" t="s">
        <v>64</v>
      </c>
      <c r="D15" t="s">
        <v>64</v>
      </c>
    </row>
    <row r="16" spans="1:6" x14ac:dyDescent="0.3">
      <c r="A16" t="s">
        <v>89</v>
      </c>
      <c r="B16" t="s">
        <v>90</v>
      </c>
      <c r="C16" t="s">
        <v>64</v>
      </c>
      <c r="D16" t="s">
        <v>64</v>
      </c>
    </row>
    <row r="17" spans="1:5" x14ac:dyDescent="0.3">
      <c r="A17" t="s">
        <v>93</v>
      </c>
      <c r="B17" t="s">
        <v>83</v>
      </c>
      <c r="C17" t="s">
        <v>64</v>
      </c>
      <c r="D17" t="s">
        <v>64</v>
      </c>
    </row>
    <row r="18" spans="1:5" x14ac:dyDescent="0.3">
      <c r="A18" t="s">
        <v>107</v>
      </c>
      <c r="B18" t="s">
        <v>8</v>
      </c>
      <c r="C18" t="s">
        <v>111</v>
      </c>
    </row>
    <row r="19" spans="1:5" x14ac:dyDescent="0.3">
      <c r="A19" t="s">
        <v>109</v>
      </c>
      <c r="B19" t="s">
        <v>8</v>
      </c>
      <c r="C19" t="s">
        <v>111</v>
      </c>
    </row>
    <row r="20" spans="1:5" x14ac:dyDescent="0.3">
      <c r="A20" t="s">
        <v>110</v>
      </c>
      <c r="B20" t="s">
        <v>8</v>
      </c>
      <c r="C20" t="s">
        <v>111</v>
      </c>
      <c r="D20" t="s">
        <v>125</v>
      </c>
      <c r="E20" t="s">
        <v>113</v>
      </c>
    </row>
    <row r="21" spans="1:5" x14ac:dyDescent="0.3">
      <c r="A21" t="s">
        <v>112</v>
      </c>
      <c r="B21" t="s">
        <v>8</v>
      </c>
      <c r="C21" t="s">
        <v>111</v>
      </c>
      <c r="D21" t="s">
        <v>111</v>
      </c>
      <c r="E21" t="s">
        <v>113</v>
      </c>
    </row>
    <row r="22" spans="1:5" x14ac:dyDescent="0.3">
      <c r="A22" t="s">
        <v>114</v>
      </c>
      <c r="B22" t="s">
        <v>8</v>
      </c>
      <c r="C22" t="s">
        <v>111</v>
      </c>
      <c r="E22" t="s">
        <v>113</v>
      </c>
    </row>
    <row r="23" spans="1:5" x14ac:dyDescent="0.3">
      <c r="A23" t="s">
        <v>115</v>
      </c>
      <c r="B23" t="s">
        <v>116</v>
      </c>
      <c r="C23" t="s">
        <v>117</v>
      </c>
      <c r="E23" t="s">
        <v>113</v>
      </c>
    </row>
    <row r="24" spans="1:5" x14ac:dyDescent="0.3">
      <c r="A24" t="s">
        <v>118</v>
      </c>
      <c r="B24" t="s">
        <v>63</v>
      </c>
      <c r="C24" t="s">
        <v>117</v>
      </c>
      <c r="E24" t="s">
        <v>113</v>
      </c>
    </row>
    <row r="25" spans="1:5" x14ac:dyDescent="0.3">
      <c r="A25" t="s">
        <v>51</v>
      </c>
      <c r="B25" t="s">
        <v>63</v>
      </c>
      <c r="C25" t="s">
        <v>117</v>
      </c>
      <c r="E25" t="s">
        <v>113</v>
      </c>
    </row>
    <row r="26" spans="1:5" x14ac:dyDescent="0.3">
      <c r="A26" t="s">
        <v>119</v>
      </c>
      <c r="B26" t="s">
        <v>120</v>
      </c>
      <c r="C26" t="s">
        <v>117</v>
      </c>
      <c r="E26" t="s">
        <v>113</v>
      </c>
    </row>
    <row r="27" spans="1:5" x14ac:dyDescent="0.3">
      <c r="A27" t="s">
        <v>121</v>
      </c>
      <c r="B27" t="s">
        <v>63</v>
      </c>
      <c r="C27" t="s">
        <v>117</v>
      </c>
      <c r="D27" t="s">
        <v>130</v>
      </c>
      <c r="E27" t="s">
        <v>113</v>
      </c>
    </row>
    <row r="28" spans="1:5" x14ac:dyDescent="0.3">
      <c r="A28" t="s">
        <v>122</v>
      </c>
      <c r="B28" t="s">
        <v>63</v>
      </c>
      <c r="C28" t="s">
        <v>117</v>
      </c>
      <c r="D28" t="s">
        <v>135</v>
      </c>
      <c r="E28" t="s">
        <v>113</v>
      </c>
    </row>
    <row r="29" spans="1:5" x14ac:dyDescent="0.3">
      <c r="A29" t="s">
        <v>39</v>
      </c>
      <c r="B29" t="s">
        <v>63</v>
      </c>
      <c r="C29" t="s">
        <v>117</v>
      </c>
      <c r="D29" t="s">
        <v>125</v>
      </c>
      <c r="E29" t="s">
        <v>113</v>
      </c>
    </row>
    <row r="30" spans="1:5" x14ac:dyDescent="0.3">
      <c r="A30" t="s">
        <v>123</v>
      </c>
      <c r="B30" t="s">
        <v>63</v>
      </c>
      <c r="C30" t="s">
        <v>117</v>
      </c>
      <c r="E30" t="s">
        <v>113</v>
      </c>
    </row>
    <row r="31" spans="1:5" x14ac:dyDescent="0.3">
      <c r="A31" t="s">
        <v>124</v>
      </c>
      <c r="B31" t="s">
        <v>63</v>
      </c>
      <c r="C31" t="s">
        <v>117</v>
      </c>
      <c r="D31" t="s">
        <v>130</v>
      </c>
      <c r="E31" t="s">
        <v>113</v>
      </c>
    </row>
    <row r="32" spans="1:5" x14ac:dyDescent="0.3">
      <c r="A32" t="s">
        <v>94</v>
      </c>
      <c r="B32" t="s">
        <v>82</v>
      </c>
      <c r="C32" t="s">
        <v>125</v>
      </c>
      <c r="D32" t="s">
        <v>135</v>
      </c>
      <c r="E32" t="s">
        <v>113</v>
      </c>
    </row>
    <row r="33" spans="1:5" x14ac:dyDescent="0.3">
      <c r="A33" t="s">
        <v>126</v>
      </c>
      <c r="B33" t="s">
        <v>116</v>
      </c>
      <c r="C33" t="s">
        <v>125</v>
      </c>
      <c r="E33" t="s">
        <v>113</v>
      </c>
    </row>
    <row r="34" spans="1:5" x14ac:dyDescent="0.3">
      <c r="A34" t="s">
        <v>127</v>
      </c>
      <c r="B34" t="s">
        <v>116</v>
      </c>
      <c r="C34" t="s">
        <v>125</v>
      </c>
      <c r="E34" t="s">
        <v>113</v>
      </c>
    </row>
    <row r="35" spans="1:5" x14ac:dyDescent="0.3">
      <c r="A35" t="s">
        <v>128</v>
      </c>
      <c r="B35" t="s">
        <v>116</v>
      </c>
      <c r="C35" t="s">
        <v>125</v>
      </c>
      <c r="E35" t="s">
        <v>113</v>
      </c>
    </row>
    <row r="36" spans="1:5" x14ac:dyDescent="0.3">
      <c r="A36" t="s">
        <v>129</v>
      </c>
      <c r="B36" t="s">
        <v>83</v>
      </c>
      <c r="C36" t="s">
        <v>125</v>
      </c>
      <c r="E36" t="s">
        <v>113</v>
      </c>
    </row>
    <row r="37" spans="1:5" x14ac:dyDescent="0.3">
      <c r="A37" t="s">
        <v>131</v>
      </c>
      <c r="B37" t="s">
        <v>116</v>
      </c>
      <c r="C37" t="s">
        <v>130</v>
      </c>
    </row>
    <row r="38" spans="1:5" x14ac:dyDescent="0.3">
      <c r="A38" t="s">
        <v>132</v>
      </c>
      <c r="B38" t="s">
        <v>116</v>
      </c>
      <c r="C38" t="s">
        <v>130</v>
      </c>
    </row>
    <row r="39" spans="1:5" x14ac:dyDescent="0.3">
      <c r="A39" t="s">
        <v>133</v>
      </c>
      <c r="B39" t="s">
        <v>63</v>
      </c>
      <c r="C39" t="s">
        <v>130</v>
      </c>
    </row>
    <row r="40" spans="1:5" x14ac:dyDescent="0.3">
      <c r="A40" t="s">
        <v>39</v>
      </c>
      <c r="B40" t="s">
        <v>116</v>
      </c>
      <c r="C40" t="s">
        <v>130</v>
      </c>
    </row>
    <row r="41" spans="1:5" x14ac:dyDescent="0.3">
      <c r="A41" t="s">
        <v>134</v>
      </c>
      <c r="B41" t="s">
        <v>63</v>
      </c>
      <c r="C41" t="s">
        <v>130</v>
      </c>
    </row>
    <row r="42" spans="1:5" x14ac:dyDescent="0.3">
      <c r="A42" t="s">
        <v>136</v>
      </c>
      <c r="B42" t="s">
        <v>116</v>
      </c>
      <c r="C42" t="s">
        <v>135</v>
      </c>
    </row>
    <row r="43" spans="1:5" x14ac:dyDescent="0.3">
      <c r="A43" t="s">
        <v>137</v>
      </c>
      <c r="B43" t="s">
        <v>138</v>
      </c>
      <c r="C43" t="s">
        <v>135</v>
      </c>
    </row>
    <row r="44" spans="1:5" x14ac:dyDescent="0.3">
      <c r="A44" t="s">
        <v>139</v>
      </c>
      <c r="B44" t="s">
        <v>82</v>
      </c>
      <c r="C44" t="s">
        <v>140</v>
      </c>
      <c r="D44" t="s">
        <v>140</v>
      </c>
    </row>
    <row r="45" spans="1:5" x14ac:dyDescent="0.3">
      <c r="A45" t="s">
        <v>81</v>
      </c>
      <c r="B45" t="s">
        <v>82</v>
      </c>
      <c r="C45" t="s">
        <v>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Leaners who lost pieces</vt:lpstr>
      <vt:lpstr>GRADE 8 illigal moves</vt:lpstr>
      <vt:lpstr>PLayers for team trials</vt:lpstr>
      <vt:lpstr>Borrowing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 M</dc:creator>
  <cp:lastModifiedBy>Mr M</cp:lastModifiedBy>
  <cp:lastPrinted>2026-02-11T10:27:28Z</cp:lastPrinted>
  <dcterms:created xsi:type="dcterms:W3CDTF">2026-02-04T08:05:44Z</dcterms:created>
  <dcterms:modified xsi:type="dcterms:W3CDTF">2026-02-28T21:37:11Z</dcterms:modified>
</cp:coreProperties>
</file>